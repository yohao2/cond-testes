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rogramação\python\arquivos\"/>
    </mc:Choice>
  </mc:AlternateContent>
  <xr:revisionPtr revIDLastSave="0" documentId="13_ncr:1_{433E64F6-05C7-405A-A9D9-F3F304DF96FA}" xr6:coauthVersionLast="47" xr6:coauthVersionMax="47" xr10:uidLastSave="{00000000-0000-0000-0000-000000000000}"/>
  <bookViews>
    <workbookView xWindow="-120" yWindow="-120" windowWidth="29040" windowHeight="16440" xr2:uid="{83897DC0-8227-4F0C-B008-5328EB79E47C}"/>
  </bookViews>
  <sheets>
    <sheet name="G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2" i="1" s="1"/>
  <c r="I9" i="1"/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7" i="1"/>
  <c r="D6" i="1" l="1"/>
  <c r="E6" i="1"/>
  <c r="F7" i="1"/>
  <c r="F14" i="1"/>
  <c r="F11" i="1"/>
  <c r="F26" i="1"/>
  <c r="F20" i="1"/>
  <c r="F19" i="1"/>
  <c r="F18" i="1"/>
  <c r="F17" i="1"/>
  <c r="F22" i="1"/>
  <c r="F9" i="1"/>
  <c r="F25" i="1"/>
  <c r="F10" i="1"/>
  <c r="F21" i="1"/>
  <c r="F13" i="1"/>
  <c r="F12" i="1"/>
  <c r="F24" i="1"/>
  <c r="F16" i="1"/>
  <c r="F8" i="1"/>
  <c r="F23" i="1"/>
  <c r="F15" i="1"/>
  <c r="F27" i="1" l="1"/>
  <c r="F29" i="1" s="1"/>
</calcChain>
</file>

<file path=xl/sharedStrings.xml><?xml version="1.0" encoding="utf-8"?>
<sst xmlns="http://schemas.openxmlformats.org/spreadsheetml/2006/main" count="64" uniqueCount="55">
  <si>
    <t>0000,0536</t>
  </si>
  <si>
    <t>0000,0434</t>
  </si>
  <si>
    <t>0000,0482</t>
  </si>
  <si>
    <t>0000,0368</t>
  </si>
  <si>
    <t>0000,0324</t>
  </si>
  <si>
    <t>UNIDADE</t>
  </si>
  <si>
    <t>LEITURAS</t>
  </si>
  <si>
    <t>CONSUMO</t>
  </si>
  <si>
    <t>CONSUMO KG</t>
  </si>
  <si>
    <t>VALOR A PAGAR</t>
  </si>
  <si>
    <t>KG BUJÃO</t>
  </si>
  <si>
    <t>VALOR BUJÃO</t>
  </si>
  <si>
    <t>PREÇO KG</t>
  </si>
  <si>
    <t>TOTAL CONSUMIDO</t>
  </si>
  <si>
    <t>SAÍDA (BUJÃO)</t>
  </si>
  <si>
    <t>CONSUMO M³</t>
  </si>
  <si>
    <t>RESIDENCIAL BALI</t>
  </si>
  <si>
    <t>MÊS:</t>
  </si>
  <si>
    <t>DIA LEITURA:</t>
  </si>
  <si>
    <t>DIFERENÇA</t>
  </si>
  <si>
    <t>CONVERSÃO (M³ PARA KG)</t>
  </si>
  <si>
    <t>0003,6001</t>
  </si>
  <si>
    <t>0000,1482</t>
  </si>
  <si>
    <t>0000,0478</t>
  </si>
  <si>
    <t>0000,1475</t>
  </si>
  <si>
    <t>0002,0148</t>
  </si>
  <si>
    <t>0000,0592</t>
  </si>
  <si>
    <t>0000,5007</t>
  </si>
  <si>
    <t>0001,0989</t>
  </si>
  <si>
    <t>0000,7064</t>
  </si>
  <si>
    <t>0000,2128</t>
  </si>
  <si>
    <t>0000,3545</t>
  </si>
  <si>
    <t>0002,1085</t>
  </si>
  <si>
    <t>0000,7239</t>
  </si>
  <si>
    <t>0002,4438</t>
  </si>
  <si>
    <t>0000,4341</t>
  </si>
  <si>
    <t>ABRIL</t>
  </si>
  <si>
    <t>m³ BUJÃO</t>
  </si>
  <si>
    <t>PREÇO m³</t>
  </si>
  <si>
    <t>MAIO</t>
  </si>
  <si>
    <t>19/05</t>
  </si>
  <si>
    <t>29/04</t>
  </si>
  <si>
    <t>0004,3852</t>
  </si>
  <si>
    <t>0000,1661</t>
  </si>
  <si>
    <t>0002,6310</t>
  </si>
  <si>
    <t>0000,0719</t>
  </si>
  <si>
    <t>0000,6365</t>
  </si>
  <si>
    <t>0001,6310</t>
  </si>
  <si>
    <t>0000,9076</t>
  </si>
  <si>
    <t>0000,2371</t>
  </si>
  <si>
    <t>0000,4651</t>
  </si>
  <si>
    <t>0002,4592</t>
  </si>
  <si>
    <t>0000,8314</t>
  </si>
  <si>
    <t>0002,9687</t>
  </si>
  <si>
    <t>0000,4972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</si>
</sst>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5C98"/>
        <bgColor indexed="64"/>
      </patternFill>
    </fill>
    <fill>
      <patternFill patternType="solid">
        <fgColor rgb="FF4D93D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4" xfId="0" applyFont="1" applyBorder="1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  <xf numFmtId="44" fontId="0" fillId="0" borderId="5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16" fontId="0" fillId="0" borderId="0" xfId="0" quotePrefix="1" applyNumberFormat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3" fillId="0" borderId="5" xfId="0" applyFont="1" applyBorder="1" applyAlignment="1">
      <alignment horizontal="center"/>
    </xf>
    <xf numFmtId="16" fontId="3" fillId="0" borderId="9" xfId="0" quotePrefix="1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2" fontId="3" fillId="0" borderId="2" xfId="0" applyNumberFormat="1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3" fillId="0" borderId="7" xfId="0" applyFont="1" applyBorder="1"/>
    <xf numFmtId="2" fontId="3" fillId="0" borderId="6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0" fontId="3" fillId="0" borderId="2" xfId="0" applyFont="1" applyBorder="1"/>
    <xf numFmtId="44" fontId="0" fillId="0" borderId="3" xfId="0" applyNumberFormat="1" applyBorder="1"/>
    <xf numFmtId="44" fontId="0" fillId="0" borderId="8" xfId="0" applyNumberFormat="1" applyBorder="1"/>
    <xf numFmtId="44" fontId="0" fillId="0" borderId="5" xfId="1" applyFont="1" applyBorder="1"/>
    <xf numFmtId="16" fontId="3" fillId="0" borderId="5" xfId="0" quotePrefix="1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2" xfId="0" quotePrefix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44" fontId="0" fillId="0" borderId="13" xfId="1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6" fontId="3" fillId="0" borderId="10" xfId="0" quotePrefix="1" applyNumberFormat="1" applyFon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4D93D9"/>
      <color rgb="FF215C98"/>
      <color rgb="FF156082"/>
      <color rgb="FFE1F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3454-BB5F-45EF-AC87-1ED80F7308AD}">
  <dimension ref="A1:I29"/>
  <sheetViews>
    <sheetView tabSelected="1" topLeftCell="A8" zoomScale="115" zoomScaleNormal="110" workbookViewId="0">
      <selection activeCell="F38" sqref="F38"/>
    </sheetView>
  </sheetViews>
  <sheetFormatPr defaultRowHeight="15" x14ac:dyDescent="0.25"/>
  <cols>
    <col min="1" max="1" width="11.7109375" bestFit="1" customWidth="1"/>
    <col min="2" max="2" width="12.28515625" customWidth="1"/>
    <col min="3" max="3" width="17.85546875" bestFit="1" customWidth="1"/>
    <col min="4" max="4" width="14.140625" customWidth="1"/>
    <col min="5" max="5" width="17.85546875" bestFit="1" customWidth="1"/>
    <col min="6" max="6" width="14.5703125" bestFit="1" customWidth="1"/>
    <col min="8" max="8" width="23.85546875" bestFit="1" customWidth="1"/>
    <col min="9" max="9" width="12" bestFit="1" customWidth="1"/>
  </cols>
  <sheetData>
    <row r="1" spans="1:9" ht="15.75" x14ac:dyDescent="0.25">
      <c r="A1" s="39" t="s">
        <v>16</v>
      </c>
      <c r="B1" s="40"/>
      <c r="C1" s="40"/>
      <c r="D1" s="40"/>
      <c r="E1" s="40"/>
      <c r="F1" s="41"/>
    </row>
    <row r="2" spans="1:9" x14ac:dyDescent="0.25">
      <c r="A2" s="10"/>
      <c r="E2" s="15" t="s">
        <v>18</v>
      </c>
      <c r="F2" s="28" t="s">
        <v>40</v>
      </c>
    </row>
    <row r="3" spans="1:9" ht="15.75" thickBot="1" x14ac:dyDescent="0.3">
      <c r="A3" s="8"/>
      <c r="B3" s="9"/>
      <c r="E3" s="15" t="s">
        <v>17</v>
      </c>
      <c r="F3" s="13" t="s">
        <v>39</v>
      </c>
    </row>
    <row r="4" spans="1:9" ht="15.75" thickBot="1" x14ac:dyDescent="0.3">
      <c r="A4" s="12"/>
      <c r="B4" s="37" t="s">
        <v>6</v>
      </c>
      <c r="C4" s="38"/>
      <c r="D4" s="37" t="s">
        <v>7</v>
      </c>
      <c r="E4" s="38"/>
      <c r="F4" s="13"/>
    </row>
    <row r="5" spans="1:9" ht="15.75" thickBot="1" x14ac:dyDescent="0.3">
      <c r="A5" s="33" t="s">
        <v>5</v>
      </c>
      <c r="B5" s="36" t="s">
        <v>36</v>
      </c>
      <c r="C5" s="34" t="s">
        <v>39</v>
      </c>
      <c r="D5" s="33" t="s">
        <v>15</v>
      </c>
      <c r="E5" s="34" t="s">
        <v>8</v>
      </c>
      <c r="F5" s="34" t="s">
        <v>9</v>
      </c>
      <c r="H5" s="2" t="s">
        <v>20</v>
      </c>
      <c r="I5" s="1">
        <v>23.2</v>
      </c>
    </row>
    <row r="6" spans="1:9" ht="15.75" thickBot="1" x14ac:dyDescent="0.3">
      <c r="A6" s="10"/>
      <c r="B6" s="14" t="s">
        <v>41</v>
      </c>
      <c r="C6" s="35" t="s">
        <v>40</v>
      </c>
      <c r="D6" s="22">
        <f>SUM(D7:D26)</f>
        <v>3.4821000000000004</v>
      </c>
      <c r="E6" s="23">
        <f>SUM(E7:E26)</f>
        <v>80.784719999999993</v>
      </c>
      <c r="F6" s="11"/>
      <c r="H6" s="2"/>
      <c r="I6" s="1"/>
    </row>
    <row r="7" spans="1:9" x14ac:dyDescent="0.25">
      <c r="A7" s="3">
        <v>201</v>
      </c>
      <c r="B7" s="4" t="s">
        <v>21</v>
      </c>
      <c r="C7" s="4" t="s">
        <v>42</v>
      </c>
      <c r="D7" s="5">
        <f t="shared" ref="D7:D26" si="0">C7-B7</f>
        <v>0.78510000000000035</v>
      </c>
      <c r="E7" s="5">
        <f t="shared" ref="E7:E26" si="1">(C7-B7)*$I$5</f>
        <v>18.214320000000008</v>
      </c>
      <c r="F7" s="6">
        <f t="shared" ref="F7:F26" si="2">E7*$I$9</f>
        <v>180.11938666666674</v>
      </c>
      <c r="H7" s="2" t="s">
        <v>11</v>
      </c>
      <c r="I7" s="1">
        <v>445</v>
      </c>
    </row>
    <row r="8" spans="1:9" x14ac:dyDescent="0.25">
      <c r="A8" s="3">
        <v>202</v>
      </c>
      <c r="B8" s="4" t="s">
        <v>22</v>
      </c>
      <c r="C8" s="4" t="s">
        <v>43</v>
      </c>
      <c r="D8" s="5">
        <f t="shared" si="0"/>
        <v>1.7899999999999999E-2</v>
      </c>
      <c r="E8" s="5">
        <f t="shared" si="1"/>
        <v>0.41527999999999998</v>
      </c>
      <c r="F8" s="6">
        <f t="shared" si="2"/>
        <v>4.1066577777777775</v>
      </c>
      <c r="H8" s="2" t="s">
        <v>10</v>
      </c>
      <c r="I8" s="1">
        <v>45</v>
      </c>
    </row>
    <row r="9" spans="1:9" x14ac:dyDescent="0.25">
      <c r="A9" s="3">
        <v>203</v>
      </c>
      <c r="B9" s="4" t="s">
        <v>23</v>
      </c>
      <c r="C9" s="4" t="s">
        <v>23</v>
      </c>
      <c r="D9" s="5">
        <f t="shared" si="0"/>
        <v>0</v>
      </c>
      <c r="E9" s="5">
        <f t="shared" si="1"/>
        <v>0</v>
      </c>
      <c r="F9" s="6">
        <f t="shared" si="2"/>
        <v>0</v>
      </c>
      <c r="H9" s="2" t="s">
        <v>12</v>
      </c>
      <c r="I9" s="1">
        <f>I7/I8</f>
        <v>9.8888888888888893</v>
      </c>
    </row>
    <row r="10" spans="1:9" x14ac:dyDescent="0.25">
      <c r="A10" s="3">
        <v>204</v>
      </c>
      <c r="B10" s="4" t="s">
        <v>24</v>
      </c>
      <c r="C10" s="4" t="s">
        <v>24</v>
      </c>
      <c r="D10" s="5">
        <f t="shared" si="0"/>
        <v>0</v>
      </c>
      <c r="E10" s="5">
        <f t="shared" si="1"/>
        <v>0</v>
      </c>
      <c r="F10" s="6">
        <f t="shared" si="2"/>
        <v>0</v>
      </c>
    </row>
    <row r="11" spans="1:9" x14ac:dyDescent="0.25">
      <c r="A11" s="29">
        <v>205</v>
      </c>
      <c r="B11" s="30" t="s">
        <v>25</v>
      </c>
      <c r="C11" s="30" t="s">
        <v>44</v>
      </c>
      <c r="D11" s="31">
        <f t="shared" si="0"/>
        <v>0.61619999999999964</v>
      </c>
      <c r="E11" s="31">
        <f t="shared" si="1"/>
        <v>14.295839999999991</v>
      </c>
      <c r="F11" s="32">
        <f t="shared" si="2"/>
        <v>141.36997333333326</v>
      </c>
      <c r="H11" s="2" t="s">
        <v>37</v>
      </c>
      <c r="I11">
        <f>I8/I5</f>
        <v>1.9396551724137931</v>
      </c>
    </row>
    <row r="12" spans="1:9" x14ac:dyDescent="0.25">
      <c r="A12" s="3">
        <v>301</v>
      </c>
      <c r="B12" s="4" t="s">
        <v>26</v>
      </c>
      <c r="C12" s="4" t="s">
        <v>45</v>
      </c>
      <c r="D12" s="5">
        <f t="shared" si="0"/>
        <v>1.2700000000000003E-2</v>
      </c>
      <c r="E12" s="5">
        <f t="shared" si="1"/>
        <v>0.29464000000000007</v>
      </c>
      <c r="F12" s="6">
        <f t="shared" si="2"/>
        <v>2.9136622222222228</v>
      </c>
      <c r="H12" s="2" t="s">
        <v>38</v>
      </c>
      <c r="I12">
        <f>I7/I11</f>
        <v>229.42222222222222</v>
      </c>
    </row>
    <row r="13" spans="1:9" x14ac:dyDescent="0.25">
      <c r="A13" s="3">
        <v>302</v>
      </c>
      <c r="B13" s="4" t="s">
        <v>27</v>
      </c>
      <c r="C13" s="4" t="s">
        <v>46</v>
      </c>
      <c r="D13" s="5">
        <f t="shared" si="0"/>
        <v>0.13579999999999992</v>
      </c>
      <c r="E13" s="5">
        <f t="shared" si="1"/>
        <v>3.1505599999999983</v>
      </c>
      <c r="F13" s="6">
        <f t="shared" si="2"/>
        <v>31.155537777777763</v>
      </c>
    </row>
    <row r="14" spans="1:9" x14ac:dyDescent="0.25">
      <c r="A14" s="3">
        <v>303</v>
      </c>
      <c r="B14" s="4" t="s">
        <v>28</v>
      </c>
      <c r="C14" s="4" t="s">
        <v>47</v>
      </c>
      <c r="D14" s="5">
        <f t="shared" si="0"/>
        <v>0.53210000000000002</v>
      </c>
      <c r="E14" s="5">
        <f t="shared" si="1"/>
        <v>12.344720000000001</v>
      </c>
      <c r="F14" s="6">
        <f t="shared" si="2"/>
        <v>122.07556444444445</v>
      </c>
    </row>
    <row r="15" spans="1:9" x14ac:dyDescent="0.25">
      <c r="A15" s="3">
        <v>304</v>
      </c>
      <c r="B15" s="4" t="s">
        <v>29</v>
      </c>
      <c r="C15" s="4" t="s">
        <v>48</v>
      </c>
      <c r="D15" s="5">
        <f t="shared" si="0"/>
        <v>0.20119999999999993</v>
      </c>
      <c r="E15" s="5">
        <f t="shared" si="1"/>
        <v>4.6678399999999982</v>
      </c>
      <c r="F15" s="6">
        <f t="shared" si="2"/>
        <v>46.159751111111092</v>
      </c>
    </row>
    <row r="16" spans="1:9" x14ac:dyDescent="0.25">
      <c r="A16" s="29">
        <v>305</v>
      </c>
      <c r="B16" s="30" t="s">
        <v>30</v>
      </c>
      <c r="C16" s="30" t="s">
        <v>49</v>
      </c>
      <c r="D16" s="31">
        <f t="shared" si="0"/>
        <v>2.4300000000000016E-2</v>
      </c>
      <c r="E16" s="31">
        <f t="shared" si="1"/>
        <v>0.56376000000000037</v>
      </c>
      <c r="F16" s="32">
        <f t="shared" si="2"/>
        <v>5.5749600000000035</v>
      </c>
    </row>
    <row r="17" spans="1:6" x14ac:dyDescent="0.25">
      <c r="A17" s="3">
        <v>401</v>
      </c>
      <c r="B17" s="4" t="s">
        <v>31</v>
      </c>
      <c r="C17" s="4" t="s">
        <v>50</v>
      </c>
      <c r="D17" s="5">
        <f t="shared" si="0"/>
        <v>0.11060000000000003</v>
      </c>
      <c r="E17" s="5">
        <f t="shared" si="1"/>
        <v>2.5659200000000006</v>
      </c>
      <c r="F17" s="6">
        <f t="shared" si="2"/>
        <v>25.374097777777784</v>
      </c>
    </row>
    <row r="18" spans="1:6" x14ac:dyDescent="0.25">
      <c r="A18" s="3">
        <v>402</v>
      </c>
      <c r="B18" s="4" t="s">
        <v>32</v>
      </c>
      <c r="C18" s="4" t="s">
        <v>51</v>
      </c>
      <c r="D18" s="5">
        <f t="shared" si="0"/>
        <v>0.35070000000000023</v>
      </c>
      <c r="E18" s="5">
        <f t="shared" si="1"/>
        <v>8.1362400000000044</v>
      </c>
      <c r="F18" s="6">
        <f t="shared" si="2"/>
        <v>80.458373333333384</v>
      </c>
    </row>
    <row r="19" spans="1:6" x14ac:dyDescent="0.25">
      <c r="A19" s="3">
        <v>403</v>
      </c>
      <c r="B19" s="4" t="s">
        <v>33</v>
      </c>
      <c r="C19" s="4" t="s">
        <v>52</v>
      </c>
      <c r="D19" s="5">
        <f t="shared" si="0"/>
        <v>0.10750000000000004</v>
      </c>
      <c r="E19" s="5">
        <f t="shared" si="1"/>
        <v>2.4940000000000007</v>
      </c>
      <c r="F19" s="6">
        <f t="shared" si="2"/>
        <v>24.662888888888897</v>
      </c>
    </row>
    <row r="20" spans="1:6" x14ac:dyDescent="0.25">
      <c r="A20" s="3">
        <v>404</v>
      </c>
      <c r="B20" s="4" t="s">
        <v>0</v>
      </c>
      <c r="C20" s="4" t="s">
        <v>0</v>
      </c>
      <c r="D20" s="5">
        <f t="shared" si="0"/>
        <v>0</v>
      </c>
      <c r="E20" s="5">
        <f t="shared" si="1"/>
        <v>0</v>
      </c>
      <c r="F20" s="6">
        <f t="shared" si="2"/>
        <v>0</v>
      </c>
    </row>
    <row r="21" spans="1:6" x14ac:dyDescent="0.25">
      <c r="A21" s="29">
        <v>405</v>
      </c>
      <c r="B21" s="30" t="s">
        <v>34</v>
      </c>
      <c r="C21" s="30" t="s">
        <v>53</v>
      </c>
      <c r="D21" s="31">
        <f t="shared" si="0"/>
        <v>0.52490000000000014</v>
      </c>
      <c r="E21" s="31">
        <f t="shared" si="1"/>
        <v>12.177680000000002</v>
      </c>
      <c r="F21" s="32">
        <f t="shared" si="2"/>
        <v>120.42372444444447</v>
      </c>
    </row>
    <row r="22" spans="1:6" x14ac:dyDescent="0.25">
      <c r="A22" s="3">
        <v>501</v>
      </c>
      <c r="B22" s="4" t="s">
        <v>1</v>
      </c>
      <c r="C22" s="4" t="s">
        <v>1</v>
      </c>
      <c r="D22" s="5">
        <f t="shared" si="0"/>
        <v>0</v>
      </c>
      <c r="E22" s="5">
        <f t="shared" si="1"/>
        <v>0</v>
      </c>
      <c r="F22" s="6">
        <f t="shared" si="2"/>
        <v>0</v>
      </c>
    </row>
    <row r="23" spans="1:6" x14ac:dyDescent="0.25">
      <c r="A23" s="3">
        <v>502</v>
      </c>
      <c r="B23" s="4" t="s">
        <v>2</v>
      </c>
      <c r="C23" s="4" t="s">
        <v>2</v>
      </c>
      <c r="D23" s="5">
        <f t="shared" si="0"/>
        <v>0</v>
      </c>
      <c r="E23" s="5">
        <f t="shared" si="1"/>
        <v>0</v>
      </c>
      <c r="F23" s="6">
        <f t="shared" si="2"/>
        <v>0</v>
      </c>
    </row>
    <row r="24" spans="1:6" x14ac:dyDescent="0.25">
      <c r="A24" s="3">
        <v>503</v>
      </c>
      <c r="B24" s="4" t="s">
        <v>35</v>
      </c>
      <c r="C24" s="4" t="s">
        <v>54</v>
      </c>
      <c r="D24" s="5">
        <f t="shared" si="0"/>
        <v>6.3099999999999989E-2</v>
      </c>
      <c r="E24" s="5">
        <f t="shared" si="1"/>
        <v>1.4639199999999997</v>
      </c>
      <c r="F24" s="6">
        <f t="shared" si="2"/>
        <v>14.47654222222222</v>
      </c>
    </row>
    <row r="25" spans="1:6" x14ac:dyDescent="0.25">
      <c r="A25" s="3">
        <v>504</v>
      </c>
      <c r="B25" s="4" t="s">
        <v>3</v>
      </c>
      <c r="C25" s="4" t="s">
        <v>3</v>
      </c>
      <c r="D25" s="5">
        <f t="shared" si="0"/>
        <v>0</v>
      </c>
      <c r="E25" s="5">
        <f t="shared" si="1"/>
        <v>0</v>
      </c>
      <c r="F25" s="6">
        <f t="shared" si="2"/>
        <v>0</v>
      </c>
    </row>
    <row r="26" spans="1:6" ht="15.75" thickBot="1" x14ac:dyDescent="0.3">
      <c r="A26" s="3">
        <v>505</v>
      </c>
      <c r="B26" s="4" t="s">
        <v>4</v>
      </c>
      <c r="C26" s="4" t="s">
        <v>4</v>
      </c>
      <c r="D26" s="5">
        <f t="shared" si="0"/>
        <v>0</v>
      </c>
      <c r="E26" s="5">
        <f t="shared" si="1"/>
        <v>0</v>
      </c>
      <c r="F26" s="6">
        <f t="shared" si="2"/>
        <v>0</v>
      </c>
    </row>
    <row r="27" spans="1:6" x14ac:dyDescent="0.25">
      <c r="A27" s="16"/>
      <c r="B27" s="17"/>
      <c r="C27" s="7"/>
      <c r="D27" s="18"/>
      <c r="E27" s="24" t="s">
        <v>13</v>
      </c>
      <c r="F27" s="25">
        <f>SUM(F7:F26)</f>
        <v>798.87112000000013</v>
      </c>
    </row>
    <row r="28" spans="1:6" x14ac:dyDescent="0.25">
      <c r="A28" s="10"/>
      <c r="E28" s="2" t="s">
        <v>14</v>
      </c>
      <c r="F28" s="27"/>
    </row>
    <row r="29" spans="1:6" ht="15.75" thickBot="1" x14ac:dyDescent="0.3">
      <c r="A29" s="19"/>
      <c r="B29" s="20"/>
      <c r="C29" s="20"/>
      <c r="D29" s="20"/>
      <c r="E29" s="21" t="s">
        <v>19</v>
      </c>
      <c r="F29" s="26">
        <f>F27-F28</f>
        <v>798.87112000000013</v>
      </c>
    </row>
  </sheetData>
  <mergeCells count="3">
    <mergeCell ref="D4:E4"/>
    <mergeCell ref="B4:C4"/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Diogenes Henrique Lima</dc:creator>
  <cp:lastModifiedBy>Yohan Lopes</cp:lastModifiedBy>
  <cp:lastPrinted>2026-05-25T13:12:39Z</cp:lastPrinted>
  <dcterms:created xsi:type="dcterms:W3CDTF">2026-04-07T14:08:38Z</dcterms:created>
  <dcterms:modified xsi:type="dcterms:W3CDTF">2026-07-26T13:07:39Z</dcterms:modified>
</cp:coreProperties>
</file>