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GAS"/>
  </sheets>
  <calcPr fullCalcOnLoad="1"/>
</workbook>
</file>

<file path=xl/sharedStrings.xml><?xml version="1.0" encoding="utf-8"?>
<sst xmlns="http://schemas.openxmlformats.org/spreadsheetml/2006/main" count="60" uniqueCount="57">
  <si>
    <t>RESIDENCIAL IBIZA</t>
  </si>
  <si>
    <t>DIA LEITURA:</t>
  </si>
  <si>
    <t>02/06</t>
  </si>
  <si>
    <t>MÊS:</t>
  </si>
  <si>
    <t>MAIO</t>
  </si>
  <si>
    <t>LEITURAS</t>
  </si>
  <si>
    <t>CONSUMO</t>
  </si>
  <si>
    <t>UNIDADE</t>
  </si>
  <si>
    <t>ABRIL</t>
  </si>
  <si>
    <t>CONSUMO M³</t>
  </si>
  <si>
    <t>CONSUMO KG</t>
  </si>
  <si>
    <t>VALOR A PAGAR</t>
  </si>
  <si>
    <t>CONVERSÃO (M³ PARA KG)</t>
  </si>
  <si>
    <t>30/04</t>
  </si>
  <si>
    <t>0003,6066</t>
  </si>
  <si>
    <t>0003,6132</t>
  </si>
  <si>
    <t>VALOR BUJÃO</t>
  </si>
  <si>
    <t>0009,4788</t>
  </si>
  <si>
    <t>0009,5542</t>
  </si>
  <si>
    <t>KG BUJÃO</t>
  </si>
  <si>
    <t>0002,7751</t>
  </si>
  <si>
    <t>0002,7765</t>
  </si>
  <si>
    <t>PREÇO KG</t>
  </si>
  <si>
    <t>0004,8852</t>
  </si>
  <si>
    <t>0005,0001</t>
  </si>
  <si>
    <t>0002,7828</t>
  </si>
  <si>
    <t>0002,8913</t>
  </si>
  <si>
    <t>0005,9206</t>
  </si>
  <si>
    <t>0005,9584</t>
  </si>
  <si>
    <t>0002,4146</t>
  </si>
  <si>
    <t>0002,4898</t>
  </si>
  <si>
    <t>0010,2932</t>
  </si>
  <si>
    <t>0010,4203</t>
  </si>
  <si>
    <t>0009,3058</t>
  </si>
  <si>
    <t>0009,5099</t>
  </si>
  <si>
    <t>0006,9855</t>
  </si>
  <si>
    <t>0000,7490</t>
  </si>
  <si>
    <t>0000,8256</t>
  </si>
  <si>
    <t>0010,5872</t>
  </si>
  <si>
    <t>0010,7979</t>
  </si>
  <si>
    <t>0019,0640</t>
  </si>
  <si>
    <t>0019,6404</t>
  </si>
  <si>
    <t>0014,0994</t>
  </si>
  <si>
    <t>0014,4515</t>
  </si>
  <si>
    <t>0033,2581</t>
  </si>
  <si>
    <t>0034,0906</t>
  </si>
  <si>
    <t>0008,0229</t>
  </si>
  <si>
    <t>0008,1483</t>
  </si>
  <si>
    <t>0006,6464</t>
  </si>
  <si>
    <t>0006,7484</t>
  </si>
  <si>
    <t>0016,7503</t>
  </si>
  <si>
    <t>0017,2838</t>
  </si>
  <si>
    <t>0014,5883</t>
  </si>
  <si>
    <t>0014,7237</t>
  </si>
  <si>
    <t>TOTAL CONSUMIDO</t>
  </si>
  <si>
    <t>SAÍDA (BUJÃO)</t>
  </si>
  <si>
    <t>DIFERENÇA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</si>
</sst>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Aptos Narrow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b/>
      <sz val="11"/>
      <color rgb="FFffffff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215c98"/>
      </patternFill>
    </fill>
    <fill>
      <patternFill patternType="solid">
        <fgColor rgb="FF4d93d9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7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2" applyBorder="1" fontId="1" applyFont="1" fillId="2" applyFill="1" applyAlignment="1">
      <alignment horizontal="center"/>
    </xf>
    <xf xfId="0" numFmtId="4" applyNumberFormat="1" borderId="2" applyBorder="1" fontId="1" applyFont="1" fillId="2" applyFill="1" applyAlignment="1">
      <alignment horizontal="center"/>
    </xf>
    <xf xfId="0" numFmtId="7" applyNumberFormat="1" borderId="3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4" applyNumberFormat="1" borderId="4" applyBorder="1" fontId="2" applyFont="1" fillId="0" applyAlignment="1">
      <alignment horizontal="right"/>
    </xf>
    <xf xfId="0" numFmtId="3" applyNumberFormat="1" borderId="5" applyBorder="1" fontId="2" applyFont="1" fillId="0" applyAlignment="1">
      <alignment horizontal="left"/>
    </xf>
    <xf xfId="0" numFmtId="0" borderId="4" applyBorder="1" fontId="2" applyFont="1" fillId="0" applyAlignment="1">
      <alignment horizontal="left"/>
    </xf>
    <xf xfId="0" numFmtId="4" applyNumberFormat="1" borderId="4" applyBorder="1" fontId="3" applyFont="1" fillId="0" applyAlignment="1">
      <alignment horizontal="left"/>
    </xf>
    <xf xfId="0" numFmtId="7" applyNumberFormat="1" borderId="6" applyBorder="1" fontId="3" applyFont="1" fillId="0" applyAlignment="1">
      <alignment horizontal="center"/>
    </xf>
    <xf xfId="0" numFmtId="3" applyNumberFormat="1" borderId="5" applyBorder="1" fontId="3" applyFont="1" fillId="0" applyAlignment="1">
      <alignment horizontal="left"/>
    </xf>
    <xf xfId="0" numFmtId="16" applyNumberFormat="1" borderId="4" applyBorder="1" fontId="2" applyFont="1" fillId="0" applyAlignment="1">
      <alignment horizontal="left"/>
    </xf>
    <xf xfId="0" numFmtId="3" applyNumberFormat="1" borderId="5" applyBorder="1" fontId="2" applyFont="1" fillId="0" applyAlignment="1">
      <alignment horizontal="center"/>
    </xf>
    <xf xfId="0" numFmtId="0" borderId="7" applyBorder="1" fontId="4" applyFont="1" fillId="2" applyFill="1" applyAlignment="1">
      <alignment horizontal="center"/>
    </xf>
    <xf xfId="0" numFmtId="0" borderId="8" applyBorder="1" fontId="4" applyFont="1" fillId="2" applyFill="1" applyAlignment="1">
      <alignment horizontal="center"/>
    </xf>
    <xf xfId="0" numFmtId="4" applyNumberFormat="1" borderId="7" applyBorder="1" fontId="4" applyFont="1" fillId="2" applyFill="1" applyAlignment="1">
      <alignment horizontal="center"/>
    </xf>
    <xf xfId="0" numFmtId="4" applyNumberFormat="1" borderId="8" applyBorder="1" fontId="4" applyFont="1" fillId="2" applyFill="1" applyAlignment="1">
      <alignment horizontal="center"/>
    </xf>
    <xf xfId="0" numFmtId="3" applyNumberFormat="1" borderId="7" applyBorder="1" fontId="4" applyFont="1" fillId="3" applyFill="1" applyAlignment="1">
      <alignment horizontal="center"/>
    </xf>
    <xf xfId="0" numFmtId="0" borderId="7" applyBorder="1" fontId="4" applyFont="1" fillId="3" applyFill="1" applyAlignment="1">
      <alignment horizontal="center"/>
    </xf>
    <xf xfId="0" numFmtId="0" borderId="8" applyBorder="1" fontId="4" applyFont="1" fillId="3" applyFill="1" applyAlignment="1">
      <alignment horizontal="center"/>
    </xf>
    <xf xfId="0" numFmtId="4" applyNumberFormat="1" borderId="7" applyBorder="1" fontId="4" applyFont="1" fillId="3" applyFill="1" applyAlignment="1">
      <alignment horizontal="center"/>
    </xf>
    <xf xfId="0" numFmtId="4" applyNumberFormat="1" borderId="8" applyBorder="1" fontId="4" applyFont="1" fillId="3" applyFill="1" applyAlignment="1">
      <alignment horizontal="center"/>
    </xf>
    <xf xfId="0" numFmtId="7" applyNumberFormat="1" borderId="8" applyBorder="1" fontId="4" applyFont="1" fillId="3" applyFill="1" applyAlignment="1">
      <alignment horizontal="center"/>
    </xf>
    <xf xfId="0" numFmtId="0" borderId="4" applyBorder="1" fontId="3" applyFont="1" fillId="0" applyAlignment="1">
      <alignment horizontal="left"/>
    </xf>
    <xf xfId="0" numFmtId="4" applyNumberFormat="1" borderId="4" applyBorder="1" fontId="2" applyFont="1" fillId="0" applyAlignment="1">
      <alignment horizontal="center"/>
    </xf>
    <xf xfId="0" numFmtId="3" applyNumberFormat="1" borderId="9" applyBorder="1" fontId="2" applyFont="1" fillId="0" applyAlignment="1">
      <alignment horizontal="left"/>
    </xf>
    <xf xfId="0" numFmtId="0" borderId="10" applyBorder="1" fontId="3" applyFont="1" fillId="0" applyAlignment="1">
      <alignment horizontal="center"/>
    </xf>
    <xf xfId="0" numFmtId="0" borderId="11" applyBorder="1" fontId="3" applyFont="1" fillId="0" applyAlignment="1">
      <alignment horizontal="center"/>
    </xf>
    <xf xfId="0" numFmtId="4" applyNumberFormat="1" borderId="10" applyBorder="1" fontId="3" applyFont="1" fillId="0" applyAlignment="1">
      <alignment horizontal="center"/>
    </xf>
    <xf xfId="0" numFmtId="4" applyNumberFormat="1" borderId="11" applyBorder="1" fontId="3" applyFont="1" fillId="0" applyAlignment="1">
      <alignment horizontal="center"/>
    </xf>
    <xf xfId="0" numFmtId="7" applyNumberFormat="1" borderId="12" applyBorder="1" fontId="2" applyFont="1" fillId="0" applyAlignment="1">
      <alignment horizontal="left"/>
    </xf>
    <xf xfId="0" numFmtId="3" applyNumberFormat="1" borderId="5" applyBorder="1" fontId="3" applyFont="1" fillId="0" applyAlignment="1">
      <alignment horizontal="center"/>
    </xf>
    <xf xfId="0" numFmtId="0" borderId="4" applyBorder="1" fontId="2" applyFont="1" fillId="0" applyAlignment="1">
      <alignment horizontal="center"/>
    </xf>
    <xf xfId="0" numFmtId="7" applyNumberFormat="1" borderId="6" applyBorder="1" fontId="2" applyFont="1" fillId="0" applyAlignment="1">
      <alignment horizontal="center"/>
    </xf>
    <xf xfId="0" numFmtId="3" applyNumberFormat="1" borderId="4" applyBorder="1" fontId="2" applyFont="1" fillId="0" applyAlignment="1">
      <alignment horizontal="center"/>
    </xf>
    <xf xfId="0" numFmtId="3" applyNumberFormat="1" borderId="13" applyBorder="1" fontId="3" applyFont="1" fillId="0" applyAlignment="1">
      <alignment horizontal="center"/>
    </xf>
    <xf xfId="0" numFmtId="0" borderId="14" applyBorder="1" fontId="2" applyFont="1" fillId="0" applyAlignment="1">
      <alignment horizontal="center"/>
    </xf>
    <xf xfId="0" numFmtId="4" applyNumberFormat="1" borderId="14" applyBorder="1" fontId="2" applyFont="1" fillId="0" applyAlignment="1">
      <alignment horizontal="center"/>
    </xf>
    <xf xfId="0" numFmtId="7" applyNumberFormat="1" borderId="15" applyBorder="1" fontId="2" applyFont="1" fillId="0" applyAlignment="1">
      <alignment horizontal="center"/>
    </xf>
    <xf xfId="0" numFmtId="0" borderId="16" applyBorder="1" fontId="2" applyFont="1" fillId="0" applyAlignment="1">
      <alignment horizontal="left"/>
    </xf>
    <xf xfId="0" numFmtId="0" borderId="16" applyBorder="1" fontId="3" applyFont="1" fillId="0" applyAlignment="1">
      <alignment horizontal="center"/>
    </xf>
    <xf xfId="0" numFmtId="4" applyNumberFormat="1" borderId="16" applyBorder="1" fontId="3" applyFont="1" fillId="0" applyAlignment="1">
      <alignment horizontal="center"/>
    </xf>
    <xf xfId="0" numFmtId="4" applyNumberFormat="1" borderId="16" applyBorder="1" fontId="3" applyFont="1" fillId="0" applyAlignment="1">
      <alignment horizontal="left"/>
    </xf>
    <xf xfId="0" numFmtId="7" applyNumberFormat="1" borderId="12" applyBorder="1" fontId="2" applyFont="1" fillId="0" applyAlignment="1">
      <alignment horizontal="right"/>
    </xf>
    <xf xfId="0" numFmtId="7" applyNumberFormat="1" borderId="6" applyBorder="1" fontId="2" applyFont="1" fillId="0" applyAlignment="1">
      <alignment horizontal="right"/>
    </xf>
    <xf xfId="0" numFmtId="3" applyNumberFormat="1" borderId="17" applyBorder="1" fontId="2" applyFont="1" fillId="0" applyAlignment="1">
      <alignment horizontal="left"/>
    </xf>
    <xf xfId="0" numFmtId="0" borderId="18" applyBorder="1" fontId="2" applyFont="1" fillId="0" applyAlignment="1">
      <alignment horizontal="left"/>
    </xf>
    <xf xfId="0" numFmtId="4" applyNumberFormat="1" borderId="18" applyBorder="1" fontId="2" applyFont="1" fillId="0" applyAlignment="1">
      <alignment horizontal="left"/>
    </xf>
    <xf xfId="0" numFmtId="4" applyNumberFormat="1" borderId="18" applyBorder="1" fontId="3" applyFont="1" fillId="0" applyAlignment="1">
      <alignment horizontal="left"/>
    </xf>
    <xf xfId="0" numFmtId="7" applyNumberFormat="1" borderId="19" applyBorder="1" fontId="2" applyFont="1" fillId="0" applyAlignment="1">
      <alignment horizontal="righ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left"/>
    </xf>
    <xf xfId="0" numFmtId="7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8"/>
  <sheetViews>
    <sheetView workbookViewId="0" tabSelected="1"/>
  </sheetViews>
  <sheetFormatPr defaultRowHeight="15" x14ac:dyDescent="0.25"/>
  <cols>
    <col min="1" max="1" style="51" width="11.719285714285713" customWidth="1" bestFit="1"/>
    <col min="2" max="2" style="52" width="12.290714285714287" customWidth="1" bestFit="1"/>
    <col min="3" max="3" style="52" width="17.862142857142857" customWidth="1" bestFit="1"/>
    <col min="4" max="4" style="53" width="16.576428571428572" customWidth="1" bestFit="1"/>
    <col min="5" max="5" style="53" width="17.862142857142857" customWidth="1" bestFit="1"/>
    <col min="6" max="6" style="54" width="14.576428571428572" customWidth="1" bestFit="1"/>
    <col min="7" max="7" style="55" width="13.576428571428572" customWidth="1" bestFit="1"/>
    <col min="8" max="8" style="55" width="23.862142857142857" customWidth="1" bestFit="1"/>
    <col min="9" max="9" style="56" width="12.005" customWidth="1" bestFit="1"/>
  </cols>
  <sheetData>
    <row x14ac:dyDescent="0.25" r="1" customHeight="1" ht="20.25">
      <c r="A1" s="1" t="s">
        <v>0</v>
      </c>
      <c r="B1" s="2"/>
      <c r="C1" s="2"/>
      <c r="D1" s="3"/>
      <c r="E1" s="3"/>
      <c r="F1" s="4"/>
      <c r="G1" s="5"/>
      <c r="H1" s="5"/>
      <c r="I1" s="6"/>
    </row>
    <row x14ac:dyDescent="0.25" r="2" customHeight="1" ht="19.5">
      <c r="A2" s="7"/>
      <c r="B2" s="8"/>
      <c r="C2" s="8"/>
      <c r="D2" s="6"/>
      <c r="E2" s="9" t="s">
        <v>1</v>
      </c>
      <c r="F2" s="10" t="s">
        <v>2</v>
      </c>
      <c r="G2" s="5"/>
      <c r="H2" s="5"/>
      <c r="I2" s="6"/>
    </row>
    <row x14ac:dyDescent="0.25" r="3" customHeight="1" ht="19.5">
      <c r="A3" s="11"/>
      <c r="B3" s="12"/>
      <c r="C3" s="8"/>
      <c r="D3" s="6"/>
      <c r="E3" s="9" t="s">
        <v>3</v>
      </c>
      <c r="F3" s="10" t="s">
        <v>4</v>
      </c>
      <c r="G3" s="5"/>
      <c r="H3" s="5"/>
      <c r="I3" s="6"/>
    </row>
    <row x14ac:dyDescent="0.25" r="4" customHeight="1" ht="19.5">
      <c r="A4" s="13"/>
      <c r="B4" s="14" t="s">
        <v>5</v>
      </c>
      <c r="C4" s="15"/>
      <c r="D4" s="16" t="s">
        <v>6</v>
      </c>
      <c r="E4" s="17"/>
      <c r="F4" s="10"/>
      <c r="G4" s="5"/>
      <c r="H4" s="5"/>
      <c r="I4" s="6"/>
    </row>
    <row x14ac:dyDescent="0.25" r="5" customHeight="1" ht="19.5">
      <c r="A5" s="18" t="s">
        <v>7</v>
      </c>
      <c r="B5" s="19" t="s">
        <v>8</v>
      </c>
      <c r="C5" s="20" t="s">
        <v>4</v>
      </c>
      <c r="D5" s="21" t="s">
        <v>9</v>
      </c>
      <c r="E5" s="22" t="s">
        <v>10</v>
      </c>
      <c r="F5" s="23" t="s">
        <v>11</v>
      </c>
      <c r="G5" s="5"/>
      <c r="H5" s="24" t="s">
        <v>12</v>
      </c>
      <c r="I5" s="25">
        <v>23.2</v>
      </c>
    </row>
    <row x14ac:dyDescent="0.25" r="6" customHeight="1" ht="20.25">
      <c r="A6" s="26"/>
      <c r="B6" s="27" t="s">
        <v>13</v>
      </c>
      <c r="C6" s="28" t="s">
        <v>2</v>
      </c>
      <c r="D6" s="29">
        <f>SUM(D7:D25)</f>
      </c>
      <c r="E6" s="30">
        <f>SUM(E7:E25)</f>
      </c>
      <c r="F6" s="31"/>
      <c r="G6" s="5"/>
      <c r="H6" s="24"/>
      <c r="I6" s="25"/>
    </row>
    <row x14ac:dyDescent="0.25" r="7" customHeight="1" ht="20.25">
      <c r="A7" s="32">
        <v>11</v>
      </c>
      <c r="B7" s="33" t="s">
        <v>14</v>
      </c>
      <c r="C7" s="33" t="s">
        <v>15</v>
      </c>
      <c r="D7" s="25">
        <f>C7-B7</f>
      </c>
      <c r="E7" s="25">
        <f>(C7-B7)*$I$5</f>
      </c>
      <c r="F7" s="34">
        <f>E7*$I$9</f>
      </c>
      <c r="G7" s="5"/>
      <c r="H7" s="24" t="s">
        <v>16</v>
      </c>
      <c r="I7" s="35">
        <v>440</v>
      </c>
    </row>
    <row x14ac:dyDescent="0.25" r="8" customHeight="1" ht="19.5">
      <c r="A8" s="32">
        <v>12</v>
      </c>
      <c r="B8" s="33" t="s">
        <v>17</v>
      </c>
      <c r="C8" s="33" t="s">
        <v>18</v>
      </c>
      <c r="D8" s="25">
        <f>C8-B8</f>
      </c>
      <c r="E8" s="25">
        <f>(C8-B8)*$I$5</f>
      </c>
      <c r="F8" s="34">
        <f>E8*$I$9</f>
      </c>
      <c r="G8" s="5"/>
      <c r="H8" s="24" t="s">
        <v>19</v>
      </c>
      <c r="I8" s="35">
        <v>45</v>
      </c>
    </row>
    <row x14ac:dyDescent="0.25" r="9" customHeight="1" ht="19.5">
      <c r="A9" s="32">
        <v>13</v>
      </c>
      <c r="B9" s="33" t="s">
        <v>20</v>
      </c>
      <c r="C9" s="33" t="s">
        <v>21</v>
      </c>
      <c r="D9" s="25">
        <f>C9-B9</f>
      </c>
      <c r="E9" s="25">
        <f>(C9-B9)*$I$5</f>
      </c>
      <c r="F9" s="34">
        <f>E9*$I$9</f>
      </c>
      <c r="G9" s="5"/>
      <c r="H9" s="24" t="s">
        <v>22</v>
      </c>
      <c r="I9" s="25">
        <f>I7/I8</f>
      </c>
    </row>
    <row x14ac:dyDescent="0.25" r="10" customHeight="1" ht="19.5">
      <c r="A10" s="32">
        <v>14</v>
      </c>
      <c r="B10" s="33" t="s">
        <v>23</v>
      </c>
      <c r="C10" s="33" t="s">
        <v>24</v>
      </c>
      <c r="D10" s="25">
        <f>C10-B10</f>
      </c>
      <c r="E10" s="25">
        <f>(C10-B10)*$I$5</f>
      </c>
      <c r="F10" s="34">
        <f>E10*$I$9</f>
      </c>
      <c r="G10" s="5"/>
      <c r="H10" s="5"/>
      <c r="I10" s="6"/>
    </row>
    <row x14ac:dyDescent="0.25" r="11" customHeight="1" ht="19.5">
      <c r="A11" s="32">
        <v>15</v>
      </c>
      <c r="B11" s="33" t="s">
        <v>25</v>
      </c>
      <c r="C11" s="33" t="s">
        <v>26</v>
      </c>
      <c r="D11" s="25">
        <f>C11-B11</f>
      </c>
      <c r="E11" s="25">
        <f>(C11-B11)*$I$5</f>
      </c>
      <c r="F11" s="34">
        <f>E11*$I$9</f>
      </c>
      <c r="G11" s="5"/>
      <c r="H11" s="5"/>
      <c r="I11" s="6"/>
    </row>
    <row x14ac:dyDescent="0.25" r="12" customHeight="1" ht="19.5">
      <c r="A12" s="36">
        <v>16</v>
      </c>
      <c r="B12" s="37" t="s">
        <v>27</v>
      </c>
      <c r="C12" s="37" t="s">
        <v>28</v>
      </c>
      <c r="D12" s="38">
        <f>C12-B12</f>
      </c>
      <c r="E12" s="38">
        <f>(C12-B12)*$I$5</f>
      </c>
      <c r="F12" s="39">
        <f>E12*$I$9</f>
      </c>
      <c r="G12" s="5"/>
      <c r="H12" s="5"/>
      <c r="I12" s="6"/>
    </row>
    <row x14ac:dyDescent="0.25" r="13" customHeight="1" ht="19.5">
      <c r="A13" s="32">
        <v>21</v>
      </c>
      <c r="B13" s="33" t="s">
        <v>29</v>
      </c>
      <c r="C13" s="33" t="s">
        <v>30</v>
      </c>
      <c r="D13" s="25">
        <f>C13-B13</f>
      </c>
      <c r="E13" s="25">
        <f>(C13-B13)*$I$5</f>
      </c>
      <c r="F13" s="34">
        <f>E13*$I$9</f>
      </c>
      <c r="G13" s="5"/>
      <c r="H13" s="5"/>
      <c r="I13" s="6"/>
    </row>
    <row x14ac:dyDescent="0.25" r="14" customHeight="1" ht="19.5">
      <c r="A14" s="32">
        <v>22</v>
      </c>
      <c r="B14" s="33" t="s">
        <v>31</v>
      </c>
      <c r="C14" s="33" t="s">
        <v>32</v>
      </c>
      <c r="D14" s="25">
        <f>C14-B14</f>
      </c>
      <c r="E14" s="25">
        <f>(C14-B14)*$I$5</f>
      </c>
      <c r="F14" s="34">
        <f>E14*$I$9</f>
      </c>
      <c r="G14" s="5"/>
      <c r="H14" s="5"/>
      <c r="I14" s="6"/>
    </row>
    <row x14ac:dyDescent="0.25" r="15" customHeight="1" ht="19.5">
      <c r="A15" s="32">
        <v>23</v>
      </c>
      <c r="B15" s="33" t="s">
        <v>33</v>
      </c>
      <c r="C15" s="33" t="s">
        <v>34</v>
      </c>
      <c r="D15" s="25">
        <f>C15-B15</f>
      </c>
      <c r="E15" s="25">
        <f>(C15-B15)*$I$5</f>
      </c>
      <c r="F15" s="34">
        <f>E15*$I$9</f>
      </c>
      <c r="G15" s="5"/>
      <c r="H15" s="5"/>
      <c r="I15" s="6"/>
    </row>
    <row x14ac:dyDescent="0.25" r="16" customHeight="1" ht="19.5">
      <c r="A16" s="32">
        <v>24</v>
      </c>
      <c r="B16" s="33" t="s">
        <v>35</v>
      </c>
      <c r="C16" s="33" t="s">
        <v>35</v>
      </c>
      <c r="D16" s="25">
        <f>C16-B16</f>
      </c>
      <c r="E16" s="25">
        <f>(C16-B16)*$I$5</f>
      </c>
      <c r="F16" s="34">
        <f>E16*$I$9</f>
      </c>
      <c r="G16" s="5"/>
      <c r="H16" s="5"/>
      <c r="I16" s="6"/>
    </row>
    <row x14ac:dyDescent="0.25" r="17" customHeight="1" ht="19.5">
      <c r="A17" s="32">
        <v>25</v>
      </c>
      <c r="B17" s="33" t="s">
        <v>36</v>
      </c>
      <c r="C17" s="33" t="s">
        <v>37</v>
      </c>
      <c r="D17" s="25">
        <f>C17-B17</f>
      </c>
      <c r="E17" s="25">
        <f>(C17-B17)*$I$5</f>
      </c>
      <c r="F17" s="34">
        <f>E17*$I$9</f>
      </c>
      <c r="G17" s="5"/>
      <c r="H17" s="5"/>
      <c r="I17" s="6"/>
    </row>
    <row x14ac:dyDescent="0.25" r="18" customHeight="1" ht="19.5">
      <c r="A18" s="36">
        <v>26</v>
      </c>
      <c r="B18" s="37" t="s">
        <v>38</v>
      </c>
      <c r="C18" s="37" t="s">
        <v>39</v>
      </c>
      <c r="D18" s="38">
        <f>C18-B18</f>
      </c>
      <c r="E18" s="38">
        <f>(C18-B18)*$I$5</f>
      </c>
      <c r="F18" s="39">
        <f>E18*$I$9</f>
      </c>
      <c r="G18" s="5"/>
      <c r="H18" s="5"/>
      <c r="I18" s="6"/>
    </row>
    <row x14ac:dyDescent="0.25" r="19" customHeight="1" ht="19.5">
      <c r="A19" s="32">
        <v>31</v>
      </c>
      <c r="B19" s="33" t="s">
        <v>40</v>
      </c>
      <c r="C19" s="33" t="s">
        <v>41</v>
      </c>
      <c r="D19" s="25">
        <f>C19-B19</f>
      </c>
      <c r="E19" s="25">
        <f>(C19-B19)*$I$5</f>
      </c>
      <c r="F19" s="34">
        <f>E19*$I$9</f>
      </c>
      <c r="G19" s="5"/>
      <c r="H19" s="5"/>
      <c r="I19" s="6"/>
    </row>
    <row x14ac:dyDescent="0.25" r="20" customHeight="1" ht="19.5">
      <c r="A20" s="32">
        <v>32</v>
      </c>
      <c r="B20" s="33" t="s">
        <v>42</v>
      </c>
      <c r="C20" s="33" t="s">
        <v>43</v>
      </c>
      <c r="D20" s="25">
        <f>C20-B20</f>
      </c>
      <c r="E20" s="25">
        <f>(C20-B20)*$I$5</f>
      </c>
      <c r="F20" s="34">
        <f>E20*$I$9</f>
      </c>
      <c r="G20" s="5"/>
      <c r="H20" s="5"/>
      <c r="I20" s="6"/>
    </row>
    <row x14ac:dyDescent="0.25" r="21" customHeight="1" ht="19.5">
      <c r="A21" s="32">
        <v>33</v>
      </c>
      <c r="B21" s="33" t="s">
        <v>44</v>
      </c>
      <c r="C21" s="33" t="s">
        <v>45</v>
      </c>
      <c r="D21" s="25">
        <f>C21-B21</f>
      </c>
      <c r="E21" s="25">
        <f>(C21-B21)*$I$5</f>
      </c>
      <c r="F21" s="34">
        <f>E21*$I$9</f>
      </c>
      <c r="G21" s="5"/>
      <c r="H21" s="5"/>
      <c r="I21" s="6"/>
    </row>
    <row x14ac:dyDescent="0.25" r="22" customHeight="1" ht="19.5">
      <c r="A22" s="32">
        <v>34</v>
      </c>
      <c r="B22" s="33" t="s">
        <v>46</v>
      </c>
      <c r="C22" s="33" t="s">
        <v>47</v>
      </c>
      <c r="D22" s="25">
        <f>C22-B22</f>
      </c>
      <c r="E22" s="25">
        <f>(C22-B22)*$I$5</f>
      </c>
      <c r="F22" s="34">
        <f>E22*$I$9</f>
      </c>
      <c r="G22" s="5"/>
      <c r="H22" s="5"/>
      <c r="I22" s="6"/>
    </row>
    <row x14ac:dyDescent="0.25" r="23" customHeight="1" ht="19.5">
      <c r="A23" s="32">
        <v>35</v>
      </c>
      <c r="B23" s="33" t="s">
        <v>48</v>
      </c>
      <c r="C23" s="33" t="s">
        <v>49</v>
      </c>
      <c r="D23" s="25">
        <f>C23-B23</f>
      </c>
      <c r="E23" s="25">
        <f>(C23-B23)*$I$5</f>
      </c>
      <c r="F23" s="34">
        <f>E23*$I$9</f>
      </c>
      <c r="G23" s="5"/>
      <c r="H23" s="5"/>
      <c r="I23" s="6"/>
    </row>
    <row x14ac:dyDescent="0.25" r="24" customHeight="1" ht="18.75">
      <c r="A24" s="36">
        <v>36</v>
      </c>
      <c r="B24" s="37" t="s">
        <v>50</v>
      </c>
      <c r="C24" s="37" t="s">
        <v>51</v>
      </c>
      <c r="D24" s="38">
        <f>C24-B24</f>
      </c>
      <c r="E24" s="38">
        <f>(C24-B24)*$I$5</f>
      </c>
      <c r="F24" s="39">
        <f>E24*$I$9</f>
      </c>
      <c r="G24" s="5"/>
      <c r="H24" s="5"/>
      <c r="I24" s="6"/>
    </row>
    <row x14ac:dyDescent="0.25" r="25" customHeight="1" ht="18.75">
      <c r="A25" s="32">
        <v>37</v>
      </c>
      <c r="B25" s="33" t="s">
        <v>52</v>
      </c>
      <c r="C25" s="33" t="s">
        <v>53</v>
      </c>
      <c r="D25" s="25">
        <f>C25-B25</f>
      </c>
      <c r="E25" s="25">
        <f>(C25-B25)*$I$5</f>
      </c>
      <c r="F25" s="34">
        <f>E25*$I$9</f>
      </c>
      <c r="G25" s="5"/>
      <c r="H25" s="5"/>
      <c r="I25" s="6"/>
    </row>
    <row x14ac:dyDescent="0.25" r="26" customHeight="1" ht="18.75">
      <c r="A26" s="26"/>
      <c r="B26" s="40"/>
      <c r="C26" s="41"/>
      <c r="D26" s="42"/>
      <c r="E26" s="43" t="s">
        <v>54</v>
      </c>
      <c r="F26" s="44">
        <f>SUM(F7:F25)</f>
      </c>
      <c r="G26" s="5"/>
      <c r="H26" s="5"/>
      <c r="I26" s="6"/>
    </row>
    <row x14ac:dyDescent="0.25" r="27" customHeight="1" ht="18.75">
      <c r="A27" s="7"/>
      <c r="B27" s="8"/>
      <c r="C27" s="8"/>
      <c r="D27" s="6"/>
      <c r="E27" s="9" t="s">
        <v>55</v>
      </c>
      <c r="F27" s="45">
        <v>890</v>
      </c>
      <c r="G27" s="5"/>
      <c r="H27" s="5"/>
      <c r="I27" s="6"/>
    </row>
    <row x14ac:dyDescent="0.25" r="28" customHeight="1" ht="18.75">
      <c r="A28" s="46"/>
      <c r="B28" s="47"/>
      <c r="C28" s="47"/>
      <c r="D28" s="48"/>
      <c r="E28" s="49" t="s">
        <v>56</v>
      </c>
      <c r="F28" s="50">
        <f>F26-F27</f>
      </c>
      <c r="G28" s="5"/>
      <c r="H28" s="5"/>
      <c r="I28" s="6"/>
    </row>
  </sheetData>
  <mergeCells count="3">
    <mergeCell ref="A1:F1"/>
    <mergeCell ref="B4:C4"/>
    <mergeCell ref="D4:E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GAS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2026-07-26T00:33:57.236Z</dcterms:created>
  <dcterms:modified xsi:type="dcterms:W3CDTF">2026-07-26T00:33:57.236Z</dcterms:modified>
</cp:coreProperties>
</file>