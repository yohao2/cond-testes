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AGUA"/>
  </sheets>
  <calcPr fullCalcOnLoad="1"/>
</workbook>
</file>

<file path=xl/sharedStrings.xml><?xml version="1.0" encoding="utf-8"?>
<sst xmlns="http://schemas.openxmlformats.org/spreadsheetml/2006/main" count="56" uniqueCount="54">
  <si>
    <t>RESIDENCIAL IBIZA</t>
  </si>
  <si>
    <t>DIA LEITURA:</t>
  </si>
  <si>
    <t>02/06</t>
  </si>
  <si>
    <t>MÊS:</t>
  </si>
  <si>
    <t>MAIO</t>
  </si>
  <si>
    <t>LEITURAS</t>
  </si>
  <si>
    <t>UNIDADE</t>
  </si>
  <si>
    <t>ABRIL</t>
  </si>
  <si>
    <t>CONSUMO M³</t>
  </si>
  <si>
    <t>VALOR A PAGAR</t>
  </si>
  <si>
    <t>TARIFA SANEPAR MÊS</t>
  </si>
  <si>
    <t>30/04</t>
  </si>
  <si>
    <t>037,357</t>
  </si>
  <si>
    <t>037,873</t>
  </si>
  <si>
    <t>051,801</t>
  </si>
  <si>
    <t>052,336</t>
  </si>
  <si>
    <t>036,624</t>
  </si>
  <si>
    <t>037,140</t>
  </si>
  <si>
    <t>032,321</t>
  </si>
  <si>
    <t>033,152</t>
  </si>
  <si>
    <t>025,135</t>
  </si>
  <si>
    <t>025,505</t>
  </si>
  <si>
    <t>031,355</t>
  </si>
  <si>
    <t>032,061</t>
  </si>
  <si>
    <t>017,554</t>
  </si>
  <si>
    <t>018,504</t>
  </si>
  <si>
    <t>035,451</t>
  </si>
  <si>
    <t>036,183</t>
  </si>
  <si>
    <t>027,225</t>
  </si>
  <si>
    <t>027,679</t>
  </si>
  <si>
    <t>054,369</t>
  </si>
  <si>
    <t>054,384</t>
  </si>
  <si>
    <t>022,925</t>
  </si>
  <si>
    <t>023,661</t>
  </si>
  <si>
    <t>069,434</t>
  </si>
  <si>
    <t>070,423</t>
  </si>
  <si>
    <t>032,135</t>
  </si>
  <si>
    <t>032,785</t>
  </si>
  <si>
    <t>029,908</t>
  </si>
  <si>
    <t>030,493</t>
  </si>
  <si>
    <t>054,826</t>
  </si>
  <si>
    <t>055,827</t>
  </si>
  <si>
    <t>033,778</t>
  </si>
  <si>
    <t>034,238</t>
  </si>
  <si>
    <t>026,209</t>
  </si>
  <si>
    <t>026,925</t>
  </si>
  <si>
    <t>039,017</t>
  </si>
  <si>
    <t>039,616</t>
  </si>
  <si>
    <t>069,071</t>
  </si>
  <si>
    <t>069,873</t>
  </si>
  <si>
    <t>TOTAL CONSUMIDO</t>
  </si>
  <si>
    <t>FATURA SANEPAR</t>
  </si>
  <si>
    <t>SEM MULTA</t>
  </si>
  <si>
    <t>DIFERENÇA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</si>
</sst>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7" x14ac:knownFonts="1">
    <font>
      <sz val="11"/>
      <color theme="1"/>
      <name val="Calibri"/>
      <family val="2"/>
      <scheme val="minor"/>
    </font>
    <font>
      <b/>
      <sz val="12"/>
      <color rgb="FFffffff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b/>
      <sz val="11"/>
      <color rgb="FFffffff"/>
      <name val="Aptos Narrow"/>
      <family val="2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215c98"/>
      </patternFill>
    </fill>
    <fill>
      <patternFill patternType="solid">
        <fgColor rgb="FF4d93d9"/>
      </patternFill>
    </fill>
  </fills>
  <borders count="22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0">
    <xf xfId="0" numFmtId="0" borderId="0" fontId="0" fillId="0"/>
    <xf xfId="0" numFmtId="3" applyNumberFormat="1" borderId="1" applyBorder="1" fontId="1" applyFont="1" fillId="2" applyFill="1" applyAlignment="1">
      <alignment horizontal="center"/>
    </xf>
    <xf xfId="0" numFmtId="0" borderId="2" applyBorder="1" fontId="1" applyFont="1" fillId="2" applyFill="1" applyAlignment="1">
      <alignment horizontal="center"/>
    </xf>
    <xf xfId="0" numFmtId="4" applyNumberFormat="1" borderId="2" applyBorder="1" fontId="1" applyFont="1" fillId="2" applyFill="1" applyAlignment="1">
      <alignment horizontal="center"/>
    </xf>
    <xf xfId="0" numFmtId="7" applyNumberFormat="1" borderId="3" applyBorder="1" fontId="1" applyFont="1" fillId="2" applyFill="1" applyAlignment="1">
      <alignment horizontal="center"/>
    </xf>
    <xf xfId="0" numFmtId="0" borderId="4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4" applyNumberFormat="1" borderId="5" applyBorder="1" fontId="2" applyFont="1" fillId="0" applyAlignment="1">
      <alignment horizontal="right"/>
    </xf>
    <xf xfId="0" numFmtId="3" applyNumberFormat="1" borderId="6" applyBorder="1" fontId="3" applyFont="1" fillId="0" applyAlignment="1">
      <alignment horizontal="left"/>
    </xf>
    <xf xfId="0" numFmtId="16" applyNumberFormat="1" borderId="5" applyBorder="1" fontId="3" applyFont="1" fillId="0" applyAlignment="1">
      <alignment horizontal="left"/>
    </xf>
    <xf xfId="0" numFmtId="0" borderId="5" applyBorder="1" fontId="2" applyFont="1" fillId="0" applyAlignment="1">
      <alignment horizontal="left"/>
    </xf>
    <xf xfId="0" numFmtId="4" applyNumberFormat="1" borderId="5" applyBorder="1" fontId="4" applyFont="1" fillId="0" applyAlignment="1">
      <alignment horizontal="left"/>
    </xf>
    <xf xfId="0" numFmtId="7" applyNumberFormat="1" borderId="7" applyBorder="1" fontId="4" applyFont="1" fillId="0" applyAlignment="1">
      <alignment horizontal="center"/>
    </xf>
    <xf xfId="0" numFmtId="3" applyNumberFormat="1" borderId="6" applyBorder="1" fontId="3" applyFont="1" fillId="0" applyAlignment="1">
      <alignment horizontal="center"/>
    </xf>
    <xf xfId="0" numFmtId="0" borderId="8" applyBorder="1" fontId="5" applyFont="1" fillId="2" applyFill="1" applyAlignment="1">
      <alignment horizontal="center"/>
    </xf>
    <xf xfId="0" numFmtId="0" borderId="9" applyBorder="1" fontId="5" applyFont="1" fillId="2" applyFill="1" applyAlignment="1">
      <alignment horizontal="center"/>
    </xf>
    <xf xfId="0" numFmtId="4" applyNumberFormat="1" borderId="5" applyBorder="1" fontId="2" applyFont="1" fillId="0" applyAlignment="1">
      <alignment horizontal="left"/>
    </xf>
    <xf xfId="0" numFmtId="7" applyNumberFormat="1" borderId="7" applyBorder="1" fontId="3" applyFont="1" fillId="0" applyAlignment="1">
      <alignment horizontal="left"/>
    </xf>
    <xf xfId="0" numFmtId="3" applyNumberFormat="1" borderId="8" applyBorder="1" fontId="5" applyFont="1" fillId="3" applyFill="1" applyAlignment="1">
      <alignment horizontal="center"/>
    </xf>
    <xf xfId="0" numFmtId="0" borderId="1" applyBorder="1" fontId="5" applyFont="1" fillId="3" applyFill="1" applyAlignment="1">
      <alignment horizontal="center"/>
    </xf>
    <xf xfId="0" numFmtId="0" borderId="3" applyBorder="1" fontId="5" applyFont="1" fillId="3" applyFill="1" applyAlignment="1">
      <alignment horizontal="center"/>
    </xf>
    <xf xfId="0" numFmtId="4" applyNumberFormat="1" borderId="10" applyBorder="1" fontId="5" applyFont="1" fillId="3" applyFill="1" applyAlignment="1">
      <alignment horizontal="center"/>
    </xf>
    <xf xfId="0" numFmtId="7" applyNumberFormat="1" borderId="9" applyBorder="1" fontId="5" applyFont="1" fillId="3" applyFill="1" applyAlignment="1">
      <alignment horizontal="center"/>
    </xf>
    <xf xfId="0" numFmtId="0" borderId="5" applyBorder="1" fontId="4" applyFont="1" fillId="0" applyAlignment="1">
      <alignment horizontal="left"/>
    </xf>
    <xf xfId="0" numFmtId="4" applyNumberFormat="1" borderId="5" applyBorder="1" fontId="3" applyFont="1" fillId="0" applyAlignment="1">
      <alignment horizontal="right"/>
    </xf>
    <xf xfId="0" numFmtId="0" borderId="11" applyBorder="1" fontId="4" applyFont="1" fillId="0" applyAlignment="1">
      <alignment horizontal="center"/>
    </xf>
    <xf xfId="0" numFmtId="0" borderId="12" applyBorder="1" fontId="4" applyFont="1" fillId="0" applyAlignment="1">
      <alignment horizontal="center"/>
    </xf>
    <xf xfId="0" numFmtId="4" applyNumberFormat="1" borderId="13" applyBorder="1" fontId="4" applyFont="1" fillId="0" applyAlignment="1">
      <alignment horizontal="center"/>
    </xf>
    <xf xfId="0" numFmtId="3" applyNumberFormat="1" borderId="6" applyBorder="1" fontId="4" applyFont="1" fillId="0" applyAlignment="1">
      <alignment horizontal="center"/>
    </xf>
    <xf xfId="0" numFmtId="0" borderId="5" applyBorder="1" fontId="3" applyFont="1" fillId="0" applyAlignment="1">
      <alignment horizontal="center"/>
    </xf>
    <xf xfId="0" numFmtId="4" applyNumberFormat="1" borderId="5" applyBorder="1" fontId="3" applyFont="1" fillId="0" applyAlignment="1">
      <alignment horizontal="center"/>
    </xf>
    <xf xfId="0" numFmtId="3" applyNumberFormat="1" borderId="14" applyBorder="1" fontId="4" applyFont="1" fillId="0" applyAlignment="1">
      <alignment horizontal="center"/>
    </xf>
    <xf xfId="0" numFmtId="0" borderId="15" applyBorder="1" fontId="3" applyFont="1" fillId="0" applyAlignment="1">
      <alignment horizontal="center"/>
    </xf>
    <xf xfId="0" numFmtId="4" applyNumberFormat="1" borderId="15" applyBorder="1" fontId="3" applyFont="1" fillId="0" applyAlignment="1">
      <alignment horizontal="center"/>
    </xf>
    <xf xfId="0" numFmtId="7" applyNumberFormat="1" borderId="16" applyBorder="1" fontId="4" applyFont="1" fillId="0" applyAlignment="1">
      <alignment horizontal="center"/>
    </xf>
    <xf xfId="0" numFmtId="3" applyNumberFormat="1" borderId="17" applyBorder="1" fontId="3" applyFont="1" fillId="0" applyAlignment="1">
      <alignment horizontal="left"/>
    </xf>
    <xf xfId="0" numFmtId="0" borderId="4" applyBorder="1" fontId="3" applyFont="1" fillId="0" applyAlignment="1">
      <alignment horizontal="left"/>
    </xf>
    <xf xfId="0" numFmtId="4" applyNumberFormat="1" borderId="4" applyBorder="1" fontId="4" applyFont="1" fillId="0" applyAlignment="1">
      <alignment horizontal="left"/>
    </xf>
    <xf xfId="0" numFmtId="7" applyNumberFormat="1" borderId="18" applyBorder="1" fontId="6" applyFont="1" fillId="0" applyAlignment="1">
      <alignment horizontal="center"/>
    </xf>
    <xf xfId="0" numFmtId="7" applyNumberFormat="1" borderId="7" applyBorder="1" fontId="6" applyFont="1" fillId="0" applyAlignment="1">
      <alignment horizontal="center"/>
    </xf>
    <xf xfId="0" numFmtId="3" applyNumberFormat="1" borderId="19" applyBorder="1" fontId="3" applyFont="1" fillId="0" applyAlignment="1">
      <alignment horizontal="left"/>
    </xf>
    <xf xfId="0" numFmtId="0" borderId="20" applyBorder="1" fontId="3" applyFont="1" fillId="0" applyAlignment="1">
      <alignment horizontal="left"/>
    </xf>
    <xf xfId="0" numFmtId="4" applyNumberFormat="1" borderId="20" applyBorder="1" fontId="4" applyFont="1" fillId="0" applyAlignment="1">
      <alignment horizontal="left"/>
    </xf>
    <xf xfId="0" numFmtId="7" applyNumberFormat="1" borderId="21" applyBorder="1" fontId="6" applyFont="1" fillId="0" applyAlignment="1">
      <alignment horizontal="center"/>
    </xf>
    <xf xfId="0" numFmtId="3" applyNumberFormat="1" borderId="0" fontId="0" fillId="0" applyAlignment="1">
      <alignment horizontal="left"/>
    </xf>
    <xf xfId="0" numFmtId="0" borderId="0" fontId="0" fillId="0" applyAlignment="1">
      <alignment horizontal="left"/>
    </xf>
    <xf xfId="0" numFmtId="4" applyNumberFormat="1" borderId="0" fontId="0" fillId="0" applyAlignment="1">
      <alignment horizontal="left"/>
    </xf>
    <xf xfId="0" numFmtId="7" applyNumberFormat="1" borderId="0" fontId="0" fillId="0" applyAlignment="1">
      <alignment horizontal="center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8"/>
  <sheetViews>
    <sheetView workbookViewId="0" tabSelected="1"/>
  </sheetViews>
  <sheetFormatPr defaultRowHeight="15" x14ac:dyDescent="0.25"/>
  <cols>
    <col min="1" max="1" style="44" width="12.005" customWidth="1" bestFit="1"/>
    <col min="2" max="2" style="45" width="14.290714285714287" customWidth="1" bestFit="1"/>
    <col min="3" max="3" style="45" width="16.005" customWidth="1" bestFit="1"/>
    <col min="4" max="4" style="46" width="18.290714285714284" customWidth="1" bestFit="1"/>
    <col min="5" max="5" style="47" width="15.576428571428572" customWidth="1" bestFit="1"/>
    <col min="6" max="6" style="48" width="13.576428571428572" customWidth="1" bestFit="1"/>
    <col min="7" max="7" style="48" width="19.719285714285714" customWidth="1" bestFit="1"/>
    <col min="8" max="8" style="49" width="13.576428571428572" customWidth="1" bestFit="1"/>
  </cols>
  <sheetData>
    <row x14ac:dyDescent="0.25" r="1" customHeight="1" ht="20.25">
      <c r="A1" s="1" t="s">
        <v>0</v>
      </c>
      <c r="B1" s="2"/>
      <c r="C1" s="2"/>
      <c r="D1" s="3"/>
      <c r="E1" s="4"/>
      <c r="F1" s="5"/>
      <c r="G1" s="6"/>
      <c r="H1" s="7"/>
    </row>
    <row x14ac:dyDescent="0.25" r="2" customHeight="1" ht="19.5">
      <c r="A2" s="8"/>
      <c r="B2" s="9"/>
      <c r="C2" s="10"/>
      <c r="D2" s="11" t="s">
        <v>1</v>
      </c>
      <c r="E2" s="12" t="s">
        <v>2</v>
      </c>
      <c r="F2" s="6"/>
      <c r="G2" s="6"/>
      <c r="H2" s="7"/>
    </row>
    <row x14ac:dyDescent="0.25" r="3" customHeight="1" ht="19.5">
      <c r="A3" s="8"/>
      <c r="B3" s="10"/>
      <c r="C3" s="10"/>
      <c r="D3" s="11" t="s">
        <v>3</v>
      </c>
      <c r="E3" s="12" t="s">
        <v>4</v>
      </c>
      <c r="F3" s="6"/>
      <c r="G3" s="6"/>
      <c r="H3" s="7"/>
    </row>
    <row x14ac:dyDescent="0.25" r="4" customHeight="1" ht="19.5">
      <c r="A4" s="13"/>
      <c r="B4" s="14" t="s">
        <v>5</v>
      </c>
      <c r="C4" s="15"/>
      <c r="D4" s="16"/>
      <c r="E4" s="17"/>
      <c r="F4" s="6"/>
      <c r="G4" s="6"/>
      <c r="H4" s="7"/>
    </row>
    <row x14ac:dyDescent="0.25" r="5" customHeight="1" ht="19.5">
      <c r="A5" s="18" t="s">
        <v>6</v>
      </c>
      <c r="B5" s="19" t="s">
        <v>7</v>
      </c>
      <c r="C5" s="20" t="s">
        <v>4</v>
      </c>
      <c r="D5" s="21" t="s">
        <v>8</v>
      </c>
      <c r="E5" s="22" t="s">
        <v>9</v>
      </c>
      <c r="F5" s="6"/>
      <c r="G5" s="23" t="s">
        <v>10</v>
      </c>
      <c r="H5" s="24">
        <v>101.91</v>
      </c>
    </row>
    <row x14ac:dyDescent="0.25" r="6" customHeight="1" ht="20.25">
      <c r="A6" s="8"/>
      <c r="B6" s="25" t="s">
        <v>11</v>
      </c>
      <c r="C6" s="26" t="s">
        <v>2</v>
      </c>
      <c r="D6" s="27">
        <f>SUM(D7:D25)</f>
      </c>
      <c r="E6" s="12"/>
      <c r="F6" s="6"/>
      <c r="G6" s="6"/>
      <c r="H6" s="7"/>
    </row>
    <row x14ac:dyDescent="0.25" r="7" customHeight="1" ht="20.25">
      <c r="A7" s="28">
        <v>11</v>
      </c>
      <c r="B7" s="29" t="s">
        <v>12</v>
      </c>
      <c r="C7" s="29" t="s">
        <v>13</v>
      </c>
      <c r="D7" s="30">
        <f>C7-B7</f>
      </c>
      <c r="E7" s="12">
        <f>IF(D7&lt;5,$H$5,"")</f>
      </c>
      <c r="F7" s="6"/>
      <c r="G7" s="6"/>
      <c r="H7" s="7"/>
    </row>
    <row x14ac:dyDescent="0.25" r="8" customHeight="1" ht="19.5">
      <c r="A8" s="28">
        <v>12</v>
      </c>
      <c r="B8" s="29" t="s">
        <v>14</v>
      </c>
      <c r="C8" s="29" t="s">
        <v>15</v>
      </c>
      <c r="D8" s="30">
        <f>C8-B8</f>
      </c>
      <c r="E8" s="12">
        <f>IF(D8&lt;5,$H$5,"")</f>
      </c>
      <c r="F8" s="6"/>
      <c r="G8" s="6"/>
      <c r="H8" s="7"/>
    </row>
    <row x14ac:dyDescent="0.25" r="9" customHeight="1" ht="19.5">
      <c r="A9" s="28">
        <v>13</v>
      </c>
      <c r="B9" s="29" t="s">
        <v>16</v>
      </c>
      <c r="C9" s="29" t="s">
        <v>17</v>
      </c>
      <c r="D9" s="30">
        <f>C9-B9</f>
      </c>
      <c r="E9" s="12">
        <f>IF(D9&lt;5,$H$5,"")</f>
      </c>
      <c r="F9" s="6"/>
      <c r="G9" s="6"/>
      <c r="H9" s="7"/>
    </row>
    <row x14ac:dyDescent="0.25" r="10" customHeight="1" ht="19.5">
      <c r="A10" s="28">
        <v>14</v>
      </c>
      <c r="B10" s="29" t="s">
        <v>18</v>
      </c>
      <c r="C10" s="29" t="s">
        <v>19</v>
      </c>
      <c r="D10" s="30">
        <f>C10-B10</f>
      </c>
      <c r="E10" s="12">
        <f>IF(D10&lt;5,$H$5,"")</f>
      </c>
      <c r="F10" s="6"/>
      <c r="G10" s="6"/>
      <c r="H10" s="7"/>
    </row>
    <row x14ac:dyDescent="0.25" r="11" customHeight="1" ht="19.5">
      <c r="A11" s="28">
        <v>15</v>
      </c>
      <c r="B11" s="29" t="s">
        <v>20</v>
      </c>
      <c r="C11" s="29" t="s">
        <v>21</v>
      </c>
      <c r="D11" s="30">
        <f>C11-B11</f>
      </c>
      <c r="E11" s="12">
        <f>IF(D11&lt;5,$H$5,"")</f>
      </c>
      <c r="F11" s="6"/>
      <c r="G11" s="6"/>
      <c r="H11" s="7"/>
    </row>
    <row x14ac:dyDescent="0.25" r="12" customHeight="1" ht="19.5">
      <c r="A12" s="31">
        <v>16</v>
      </c>
      <c r="B12" s="32" t="s">
        <v>22</v>
      </c>
      <c r="C12" s="32" t="s">
        <v>23</v>
      </c>
      <c r="D12" s="33">
        <f>C12-B12</f>
      </c>
      <c r="E12" s="34">
        <f>IF(D12&lt;5,$H$5,"")</f>
      </c>
      <c r="F12" s="6"/>
      <c r="G12" s="6"/>
      <c r="H12" s="7"/>
    </row>
    <row x14ac:dyDescent="0.25" r="13" customHeight="1" ht="19.5">
      <c r="A13" s="28">
        <v>21</v>
      </c>
      <c r="B13" s="29" t="s">
        <v>24</v>
      </c>
      <c r="C13" s="29" t="s">
        <v>25</v>
      </c>
      <c r="D13" s="30">
        <f>C13-B13</f>
      </c>
      <c r="E13" s="12">
        <f>IF(D13&lt;5,$H$5,"")</f>
      </c>
      <c r="F13" s="6"/>
      <c r="G13" s="6"/>
      <c r="H13" s="7"/>
    </row>
    <row x14ac:dyDescent="0.25" r="14" customHeight="1" ht="19.5">
      <c r="A14" s="28">
        <v>22</v>
      </c>
      <c r="B14" s="29" t="s">
        <v>26</v>
      </c>
      <c r="C14" s="29" t="s">
        <v>27</v>
      </c>
      <c r="D14" s="30">
        <f>C14-B14</f>
      </c>
      <c r="E14" s="12">
        <f>IF(D14&lt;5,$H$5,"")</f>
      </c>
      <c r="F14" s="6"/>
      <c r="G14" s="6"/>
      <c r="H14" s="7"/>
    </row>
    <row x14ac:dyDescent="0.25" r="15" customHeight="1" ht="19.5">
      <c r="A15" s="28">
        <v>23</v>
      </c>
      <c r="B15" s="29" t="s">
        <v>28</v>
      </c>
      <c r="C15" s="29" t="s">
        <v>29</v>
      </c>
      <c r="D15" s="30">
        <f>C15-B15</f>
      </c>
      <c r="E15" s="12">
        <f>IF(D15&lt;5,$H$5,"")</f>
      </c>
      <c r="F15" s="6"/>
      <c r="G15" s="6"/>
      <c r="H15" s="7"/>
    </row>
    <row x14ac:dyDescent="0.25" r="16" customHeight="1" ht="19.5">
      <c r="A16" s="28">
        <v>24</v>
      </c>
      <c r="B16" s="29" t="s">
        <v>30</v>
      </c>
      <c r="C16" s="29" t="s">
        <v>31</v>
      </c>
      <c r="D16" s="30">
        <f>C16-B16</f>
      </c>
      <c r="E16" s="12">
        <f>IF(D16&lt;5,$H$5,"")</f>
      </c>
      <c r="F16" s="6"/>
      <c r="G16" s="6"/>
      <c r="H16" s="7"/>
    </row>
    <row x14ac:dyDescent="0.25" r="17" customHeight="1" ht="19.5">
      <c r="A17" s="28">
        <v>25</v>
      </c>
      <c r="B17" s="29" t="s">
        <v>32</v>
      </c>
      <c r="C17" s="29" t="s">
        <v>33</v>
      </c>
      <c r="D17" s="30">
        <f>C17-B17</f>
      </c>
      <c r="E17" s="12">
        <f>IF(D17&lt;5,$H$5,"")</f>
      </c>
      <c r="F17" s="6"/>
      <c r="G17" s="6"/>
      <c r="H17" s="7"/>
    </row>
    <row x14ac:dyDescent="0.25" r="18" customHeight="1" ht="19.5">
      <c r="A18" s="31">
        <v>26</v>
      </c>
      <c r="B18" s="32" t="s">
        <v>34</v>
      </c>
      <c r="C18" s="32" t="s">
        <v>35</v>
      </c>
      <c r="D18" s="33">
        <f>C18-B18</f>
      </c>
      <c r="E18" s="34">
        <f>IF(D18&lt;5,$H$5,"")</f>
      </c>
      <c r="F18" s="6"/>
      <c r="G18" s="6"/>
      <c r="H18" s="7"/>
    </row>
    <row x14ac:dyDescent="0.25" r="19" customHeight="1" ht="19.5">
      <c r="A19" s="28">
        <v>31</v>
      </c>
      <c r="B19" s="29" t="s">
        <v>36</v>
      </c>
      <c r="C19" s="29" t="s">
        <v>37</v>
      </c>
      <c r="D19" s="30">
        <f>C19-B19</f>
      </c>
      <c r="E19" s="12">
        <f>IF(D19&lt;5,$H$5,"")</f>
      </c>
      <c r="F19" s="6"/>
      <c r="G19" s="6"/>
      <c r="H19" s="7"/>
    </row>
    <row x14ac:dyDescent="0.25" r="20" customHeight="1" ht="19.5">
      <c r="A20" s="28">
        <v>32</v>
      </c>
      <c r="B20" s="29" t="s">
        <v>38</v>
      </c>
      <c r="C20" s="29" t="s">
        <v>39</v>
      </c>
      <c r="D20" s="30">
        <f>C20-B20</f>
      </c>
      <c r="E20" s="12">
        <f>IF(D20&lt;5,$H$5,"")</f>
      </c>
      <c r="F20" s="6"/>
      <c r="G20" s="6"/>
      <c r="H20" s="7"/>
    </row>
    <row x14ac:dyDescent="0.25" r="21" customHeight="1" ht="19.5">
      <c r="A21" s="28">
        <v>33</v>
      </c>
      <c r="B21" s="29" t="s">
        <v>40</v>
      </c>
      <c r="C21" s="29" t="s">
        <v>41</v>
      </c>
      <c r="D21" s="30">
        <f>C21-B21</f>
      </c>
      <c r="E21" s="12">
        <f>IF(D21&lt;5,$H$5,"")</f>
      </c>
      <c r="F21" s="6"/>
      <c r="G21" s="6"/>
      <c r="H21" s="7"/>
    </row>
    <row x14ac:dyDescent="0.25" r="22" customHeight="1" ht="19.5">
      <c r="A22" s="28">
        <v>34</v>
      </c>
      <c r="B22" s="29" t="s">
        <v>42</v>
      </c>
      <c r="C22" s="29" t="s">
        <v>43</v>
      </c>
      <c r="D22" s="30">
        <f>C22-B22</f>
      </c>
      <c r="E22" s="12">
        <f>IF(D22&lt;5,$H$5,"")</f>
      </c>
      <c r="F22" s="6"/>
      <c r="G22" s="6"/>
      <c r="H22" s="7"/>
    </row>
    <row x14ac:dyDescent="0.25" r="23" customHeight="1" ht="19.5">
      <c r="A23" s="28">
        <v>35</v>
      </c>
      <c r="B23" s="29" t="s">
        <v>44</v>
      </c>
      <c r="C23" s="29" t="s">
        <v>45</v>
      </c>
      <c r="D23" s="30">
        <f>C23-B23</f>
      </c>
      <c r="E23" s="12">
        <f>IF(D23&lt;5,$H$5,"")</f>
      </c>
      <c r="F23" s="6"/>
      <c r="G23" s="6"/>
      <c r="H23" s="7"/>
    </row>
    <row x14ac:dyDescent="0.25" r="24" customHeight="1" ht="18.75">
      <c r="A24" s="31">
        <v>36</v>
      </c>
      <c r="B24" s="32" t="s">
        <v>46</v>
      </c>
      <c r="C24" s="32" t="s">
        <v>47</v>
      </c>
      <c r="D24" s="33">
        <f>C24-B24</f>
      </c>
      <c r="E24" s="34">
        <f>IF(D24&lt;5,$H$5,"")</f>
      </c>
      <c r="F24" s="6"/>
      <c r="G24" s="6"/>
      <c r="H24" s="7"/>
    </row>
    <row x14ac:dyDescent="0.25" r="25" customHeight="1" ht="18.75">
      <c r="A25" s="28">
        <v>37</v>
      </c>
      <c r="B25" s="29" t="s">
        <v>48</v>
      </c>
      <c r="C25" s="29" t="s">
        <v>49</v>
      </c>
      <c r="D25" s="30">
        <f>C25-B25</f>
      </c>
      <c r="E25" s="12">
        <f>IF(D25&lt;5,$H$5,"")</f>
      </c>
      <c r="F25" s="6"/>
      <c r="G25" s="6"/>
      <c r="H25" s="7"/>
    </row>
    <row x14ac:dyDescent="0.25" r="26" customHeight="1" ht="18.75">
      <c r="A26" s="35"/>
      <c r="B26" s="36"/>
      <c r="C26" s="36"/>
      <c r="D26" s="37" t="s">
        <v>50</v>
      </c>
      <c r="E26" s="38">
        <f>SUM(E7:E25)</f>
      </c>
      <c r="F26" s="6"/>
      <c r="G26" s="6"/>
      <c r="H26" s="7"/>
    </row>
    <row x14ac:dyDescent="0.25" r="27" customHeight="1" ht="18.75">
      <c r="A27" s="8"/>
      <c r="B27" s="10"/>
      <c r="C27" s="10"/>
      <c r="D27" s="11" t="s">
        <v>51</v>
      </c>
      <c r="E27" s="39">
        <v>1956.52</v>
      </c>
      <c r="F27" s="6"/>
      <c r="G27" s="6" t="s">
        <v>52</v>
      </c>
      <c r="H27" s="7"/>
    </row>
    <row x14ac:dyDescent="0.25" r="28" customHeight="1" ht="18.75">
      <c r="A28" s="40"/>
      <c r="B28" s="41"/>
      <c r="C28" s="41"/>
      <c r="D28" s="42" t="s">
        <v>53</v>
      </c>
      <c r="E28" s="43">
        <f>E27-E26</f>
      </c>
      <c r="F28" s="6"/>
      <c r="G28" s="6"/>
      <c r="H28" s="7"/>
    </row>
  </sheetData>
  <mergeCells count="2">
    <mergeCell ref="A1:E1"/>
    <mergeCell ref="B4:C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AGUA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2026-07-25T23:50:44.247Z</dcterms:created>
  <dcterms:modified xsi:type="dcterms:W3CDTF">2026-07-25T23:50:44.247Z</dcterms:modified>
</cp:coreProperties>
</file>