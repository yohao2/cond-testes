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programação\python\arquivos\"/>
    </mc:Choice>
  </mc:AlternateContent>
  <xr:revisionPtr revIDLastSave="0" documentId="13_ncr:1_{B90AED2B-7CBE-47E4-85FE-373FFF8A4084}" xr6:coauthVersionLast="47" xr6:coauthVersionMax="47" xr10:uidLastSave="{00000000-0000-0000-0000-000000000000}"/>
  <bookViews>
    <workbookView xWindow="-120" yWindow="-120" windowWidth="29040" windowHeight="16440" xr2:uid="{F7AF5FF2-9259-49F0-B14D-F1F76BAFC467}"/>
  </bookViews>
  <sheets>
    <sheet name="AGU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2" i="1" l="1"/>
  <c r="E22" i="1" s="1"/>
  <c r="D12" i="1"/>
  <c r="E12" i="1" s="1"/>
  <c r="D9" i="1"/>
  <c r="E9" i="1" s="1"/>
  <c r="D7" i="1"/>
  <c r="E7" i="1" s="1"/>
  <c r="D8" i="1"/>
  <c r="E8" i="1" s="1"/>
  <c r="D10" i="1"/>
  <c r="E10" i="1" s="1"/>
  <c r="D11" i="1"/>
  <c r="E11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3" i="1"/>
  <c r="E23" i="1" s="1"/>
  <c r="D24" i="1"/>
  <c r="E24" i="1" s="1"/>
  <c r="D25" i="1"/>
  <c r="E25" i="1" s="1"/>
  <c r="D26" i="1"/>
  <c r="E26" i="1" s="1"/>
  <c r="D6" i="1" l="1"/>
  <c r="E27" i="1"/>
  <c r="E29" i="1" s="1"/>
</calcChain>
</file>

<file path=xl/sharedStrings.xml><?xml version="1.0" encoding="utf-8"?>
<sst xmlns="http://schemas.openxmlformats.org/spreadsheetml/2006/main" count="57" uniqueCount="53">
  <si>
    <t>RESIDENCIAL BALI</t>
  </si>
  <si>
    <t>DIA LEITURA:</t>
  </si>
  <si>
    <t>MÊS:</t>
  </si>
  <si>
    <t>29/04</t>
  </si>
  <si>
    <t>ABRIL</t>
  </si>
  <si>
    <t>UNIDADE</t>
  </si>
  <si>
    <t>LEITURAS</t>
  </si>
  <si>
    <t>CONSUMO M³</t>
  </si>
  <si>
    <t>006,315</t>
  </si>
  <si>
    <t>004,858</t>
  </si>
  <si>
    <t>001,420</t>
  </si>
  <si>
    <t>001,691</t>
  </si>
  <si>
    <t>004,291</t>
  </si>
  <si>
    <t>003,108</t>
  </si>
  <si>
    <t>002,640</t>
  </si>
  <si>
    <t>002,550</t>
  </si>
  <si>
    <t>002,133</t>
  </si>
  <si>
    <t>001,973</t>
  </si>
  <si>
    <t>003,095</t>
  </si>
  <si>
    <t>003,749</t>
  </si>
  <si>
    <t>002,816</t>
  </si>
  <si>
    <t>002,541</t>
  </si>
  <si>
    <t>004,998</t>
  </si>
  <si>
    <t>000,325</t>
  </si>
  <si>
    <t>001,047</t>
  </si>
  <si>
    <t>002,426</t>
  </si>
  <si>
    <t>000,544</t>
  </si>
  <si>
    <t>000,131</t>
  </si>
  <si>
    <t>TOTAL CONSUMIDO</t>
  </si>
  <si>
    <t>FATURA SANEPAR</t>
  </si>
  <si>
    <t>DIFERENÇA</t>
  </si>
  <si>
    <t>VALOR A PAGAR</t>
  </si>
  <si>
    <t>TARIFA SANEPAR MÊS</t>
  </si>
  <si>
    <t>MAIO</t>
  </si>
  <si>
    <t>28/05</t>
  </si>
  <si>
    <t>007,218</t>
  </si>
  <si>
    <t>005,552</t>
  </si>
  <si>
    <t>001,909</t>
  </si>
  <si>
    <t>005,424</t>
  </si>
  <si>
    <t>003,558</t>
  </si>
  <si>
    <t>003,520</t>
  </si>
  <si>
    <t>002,682</t>
  </si>
  <si>
    <t>002,312</t>
  </si>
  <si>
    <t xml:space="preserve">003,744 </t>
  </si>
  <si>
    <t>004,426</t>
  </si>
  <si>
    <t>003,184</t>
  </si>
  <si>
    <t>002,689</t>
  </si>
  <si>
    <t>006,145</t>
  </si>
  <si>
    <t>000,340</t>
  </si>
  <si>
    <t>001,093</t>
  </si>
  <si>
    <t>002,921</t>
  </si>
  <si>
    <t>000,714</t>
  </si>
  <si>
    <t>000,149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</si>
</sst>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15C98"/>
        <bgColor indexed="64"/>
      </patternFill>
    </fill>
    <fill>
      <patternFill patternType="solid">
        <fgColor rgb="FF4D93D9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1">
    <xf numFmtId="0" fontId="0" fillId="0" borderId="0" xfId="0"/>
    <xf numFmtId="16" fontId="3" fillId="0" borderId="1" xfId="0" quotePrefix="1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7" xfId="0" applyFont="1" applyBorder="1"/>
    <xf numFmtId="0" fontId="0" fillId="0" borderId="2" xfId="0" applyBorder="1"/>
    <xf numFmtId="16" fontId="0" fillId="0" borderId="0" xfId="0" quotePrefix="1" applyNumberFormat="1"/>
    <xf numFmtId="0" fontId="0" fillId="0" borderId="0" xfId="0" quotePrefix="1"/>
    <xf numFmtId="0" fontId="0" fillId="0" borderId="1" xfId="0" applyBorder="1"/>
    <xf numFmtId="0" fontId="0" fillId="0" borderId="10" xfId="0" applyBorder="1"/>
    <xf numFmtId="0" fontId="0" fillId="0" borderId="11" xfId="0" applyBorder="1"/>
    <xf numFmtId="0" fontId="0" fillId="0" borderId="6" xfId="0" applyBorder="1"/>
    <xf numFmtId="0" fontId="0" fillId="0" borderId="7" xfId="0" applyBorder="1"/>
    <xf numFmtId="0" fontId="3" fillId="0" borderId="3" xfId="0" quotePrefix="1" applyFont="1" applyBorder="1" applyAlignment="1">
      <alignment horizontal="center"/>
    </xf>
    <xf numFmtId="0" fontId="0" fillId="0" borderId="0" xfId="0" quotePrefix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/>
    <xf numFmtId="0" fontId="3" fillId="0" borderId="1" xfId="0" quotePrefix="1" applyFont="1" applyBorder="1" applyAlignment="1">
      <alignment horizontal="center"/>
    </xf>
    <xf numFmtId="0" fontId="0" fillId="0" borderId="15" xfId="0" quotePrefix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44" fontId="3" fillId="0" borderId="1" xfId="1" applyFont="1" applyBorder="1" applyAlignment="1">
      <alignment horizontal="center"/>
    </xf>
    <xf numFmtId="44" fontId="3" fillId="0" borderId="14" xfId="1" applyFont="1" applyBorder="1" applyAlignment="1">
      <alignment horizontal="center"/>
    </xf>
    <xf numFmtId="0" fontId="3" fillId="0" borderId="7" xfId="0" applyFont="1" applyBorder="1"/>
    <xf numFmtId="0" fontId="3" fillId="0" borderId="11" xfId="0" applyFont="1" applyBorder="1"/>
    <xf numFmtId="2" fontId="3" fillId="0" borderId="13" xfId="0" applyNumberFormat="1" applyFont="1" applyBorder="1" applyAlignment="1">
      <alignment horizontal="center"/>
    </xf>
    <xf numFmtId="44" fontId="1" fillId="0" borderId="8" xfId="1" applyFont="1" applyBorder="1" applyAlignment="1">
      <alignment horizontal="center"/>
    </xf>
    <xf numFmtId="44" fontId="1" fillId="0" borderId="1" xfId="1" applyFont="1" applyBorder="1" applyAlignment="1">
      <alignment horizontal="center"/>
    </xf>
    <xf numFmtId="44" fontId="1" fillId="0" borderId="12" xfId="1" applyFont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colors>
    <mruColors>
      <color rgb="FF4D93D9"/>
      <color rgb="FF215C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9C8E7-D82E-4C91-826E-DDD7F7BCB244}">
  <dimension ref="A1:H29"/>
  <sheetViews>
    <sheetView tabSelected="1" zoomScale="102" zoomScaleNormal="102" workbookViewId="0">
      <selection activeCell="D24" sqref="D24"/>
    </sheetView>
  </sheetViews>
  <sheetFormatPr defaultRowHeight="15" x14ac:dyDescent="0.25"/>
  <cols>
    <col min="1" max="1" width="12" customWidth="1"/>
    <col min="2" max="2" width="14.28515625" customWidth="1"/>
    <col min="3" max="3" width="16" customWidth="1"/>
    <col min="4" max="4" width="18.28515625" bestFit="1" customWidth="1"/>
    <col min="5" max="5" width="15.5703125" customWidth="1"/>
    <col min="7" max="7" width="19.7109375" bestFit="1" customWidth="1"/>
    <col min="8" max="8" width="8.85546875" customWidth="1"/>
  </cols>
  <sheetData>
    <row r="1" spans="1:8" ht="15.75" x14ac:dyDescent="0.25">
      <c r="A1" s="38" t="s">
        <v>0</v>
      </c>
      <c r="B1" s="39"/>
      <c r="C1" s="39"/>
      <c r="D1" s="39"/>
      <c r="E1" s="40"/>
      <c r="F1" s="7"/>
    </row>
    <row r="2" spans="1:8" x14ac:dyDescent="0.25">
      <c r="A2" s="8"/>
      <c r="B2" s="9"/>
      <c r="D2" s="19" t="s">
        <v>1</v>
      </c>
      <c r="E2" s="1" t="s">
        <v>34</v>
      </c>
    </row>
    <row r="3" spans="1:8" ht="15.75" thickBot="1" x14ac:dyDescent="0.3">
      <c r="A3" s="8"/>
      <c r="B3" s="10"/>
      <c r="D3" s="19" t="s">
        <v>2</v>
      </c>
      <c r="E3" s="20" t="s">
        <v>33</v>
      </c>
    </row>
    <row r="4" spans="1:8" ht="15.75" thickBot="1" x14ac:dyDescent="0.3">
      <c r="A4" s="3"/>
      <c r="B4" s="36" t="s">
        <v>6</v>
      </c>
      <c r="C4" s="37"/>
      <c r="E4" s="11"/>
    </row>
    <row r="5" spans="1:8" ht="15.75" thickBot="1" x14ac:dyDescent="0.3">
      <c r="A5" s="31" t="s">
        <v>5</v>
      </c>
      <c r="B5" s="32" t="s">
        <v>4</v>
      </c>
      <c r="C5" s="33" t="s">
        <v>33</v>
      </c>
      <c r="D5" s="34" t="s">
        <v>7</v>
      </c>
      <c r="E5" s="35" t="s">
        <v>31</v>
      </c>
      <c r="G5" s="19" t="s">
        <v>32</v>
      </c>
      <c r="H5">
        <v>101.91</v>
      </c>
    </row>
    <row r="6" spans="1:8" ht="15.75" thickBot="1" x14ac:dyDescent="0.3">
      <c r="A6" s="8"/>
      <c r="B6" s="16" t="s">
        <v>3</v>
      </c>
      <c r="C6" s="4" t="s">
        <v>34</v>
      </c>
      <c r="D6" s="27">
        <f>SUM(D7:D26)</f>
        <v>10.177999999999997</v>
      </c>
      <c r="E6" s="2"/>
    </row>
    <row r="7" spans="1:8" x14ac:dyDescent="0.25">
      <c r="A7" s="5">
        <v>201</v>
      </c>
      <c r="B7" s="17" t="s">
        <v>8</v>
      </c>
      <c r="C7" s="17" t="s">
        <v>35</v>
      </c>
      <c r="D7" s="18">
        <f>C7-B7</f>
        <v>0.90299999999999958</v>
      </c>
      <c r="E7" s="23">
        <f t="shared" ref="E7:E26" si="0">IF(D7&lt;5,$H$5,"")</f>
        <v>101.91</v>
      </c>
    </row>
    <row r="8" spans="1:8" x14ac:dyDescent="0.25">
      <c r="A8" s="5">
        <v>202</v>
      </c>
      <c r="B8" s="17" t="s">
        <v>9</v>
      </c>
      <c r="C8" s="17" t="s">
        <v>36</v>
      </c>
      <c r="D8" s="18">
        <f t="shared" ref="D8:D26" si="1">C8-B8</f>
        <v>0.69399999999999995</v>
      </c>
      <c r="E8" s="23">
        <f t="shared" si="0"/>
        <v>101.91</v>
      </c>
    </row>
    <row r="9" spans="1:8" x14ac:dyDescent="0.25">
      <c r="A9" s="5">
        <v>203</v>
      </c>
      <c r="B9" s="17" t="s">
        <v>10</v>
      </c>
      <c r="C9" s="17" t="s">
        <v>37</v>
      </c>
      <c r="D9" s="18">
        <f t="shared" si="1"/>
        <v>0.4890000000000001</v>
      </c>
      <c r="E9" s="23">
        <f t="shared" si="0"/>
        <v>101.91</v>
      </c>
    </row>
    <row r="10" spans="1:8" x14ac:dyDescent="0.25">
      <c r="A10" s="5">
        <v>204</v>
      </c>
      <c r="B10" s="17" t="s">
        <v>11</v>
      </c>
      <c r="C10" s="17" t="s">
        <v>11</v>
      </c>
      <c r="D10" s="18">
        <f t="shared" si="1"/>
        <v>0</v>
      </c>
      <c r="E10" s="23">
        <f t="shared" si="0"/>
        <v>101.91</v>
      </c>
    </row>
    <row r="11" spans="1:8" x14ac:dyDescent="0.25">
      <c r="A11" s="6">
        <v>205</v>
      </c>
      <c r="B11" s="21" t="s">
        <v>12</v>
      </c>
      <c r="C11" s="21" t="s">
        <v>38</v>
      </c>
      <c r="D11" s="22">
        <f t="shared" si="1"/>
        <v>1.133</v>
      </c>
      <c r="E11" s="24">
        <f t="shared" si="0"/>
        <v>101.91</v>
      </c>
    </row>
    <row r="12" spans="1:8" x14ac:dyDescent="0.25">
      <c r="A12" s="5">
        <v>301</v>
      </c>
      <c r="B12" s="17" t="s">
        <v>13</v>
      </c>
      <c r="C12" s="17" t="s">
        <v>39</v>
      </c>
      <c r="D12" s="18">
        <f t="shared" si="1"/>
        <v>0.44999999999999973</v>
      </c>
      <c r="E12" s="23">
        <f t="shared" si="0"/>
        <v>101.91</v>
      </c>
    </row>
    <row r="13" spans="1:8" x14ac:dyDescent="0.25">
      <c r="A13" s="5">
        <v>302</v>
      </c>
      <c r="B13" s="17" t="s">
        <v>14</v>
      </c>
      <c r="C13" s="17" t="s">
        <v>40</v>
      </c>
      <c r="D13" s="18">
        <f t="shared" si="1"/>
        <v>0.87999999999999989</v>
      </c>
      <c r="E13" s="23">
        <f t="shared" si="0"/>
        <v>101.91</v>
      </c>
    </row>
    <row r="14" spans="1:8" x14ac:dyDescent="0.25">
      <c r="A14" s="5">
        <v>303</v>
      </c>
      <c r="B14" s="17" t="s">
        <v>15</v>
      </c>
      <c r="C14" s="17" t="s">
        <v>39</v>
      </c>
      <c r="D14" s="18">
        <f t="shared" si="1"/>
        <v>1.008</v>
      </c>
      <c r="E14" s="23">
        <f t="shared" si="0"/>
        <v>101.91</v>
      </c>
    </row>
    <row r="15" spans="1:8" x14ac:dyDescent="0.25">
      <c r="A15" s="5">
        <v>304</v>
      </c>
      <c r="B15" s="17" t="s">
        <v>16</v>
      </c>
      <c r="C15" s="17" t="s">
        <v>41</v>
      </c>
      <c r="D15" s="18">
        <f t="shared" si="1"/>
        <v>0.54899999999999993</v>
      </c>
      <c r="E15" s="23">
        <f t="shared" si="0"/>
        <v>101.91</v>
      </c>
    </row>
    <row r="16" spans="1:8" x14ac:dyDescent="0.25">
      <c r="A16" s="6">
        <v>305</v>
      </c>
      <c r="B16" s="21" t="s">
        <v>17</v>
      </c>
      <c r="C16" s="21" t="s">
        <v>42</v>
      </c>
      <c r="D16" s="22">
        <f t="shared" si="1"/>
        <v>0.33899999999999975</v>
      </c>
      <c r="E16" s="24">
        <f t="shared" si="0"/>
        <v>101.91</v>
      </c>
    </row>
    <row r="17" spans="1:5" x14ac:dyDescent="0.25">
      <c r="A17" s="5">
        <v>401</v>
      </c>
      <c r="B17" s="17" t="s">
        <v>18</v>
      </c>
      <c r="C17" s="17" t="s">
        <v>43</v>
      </c>
      <c r="D17" s="18">
        <f t="shared" si="1"/>
        <v>0.64900000000000002</v>
      </c>
      <c r="E17" s="23">
        <f t="shared" si="0"/>
        <v>101.91</v>
      </c>
    </row>
    <row r="18" spans="1:5" x14ac:dyDescent="0.25">
      <c r="A18" s="5">
        <v>402</v>
      </c>
      <c r="B18" s="17" t="s">
        <v>19</v>
      </c>
      <c r="C18" s="17" t="s">
        <v>44</v>
      </c>
      <c r="D18" s="18">
        <f t="shared" si="1"/>
        <v>0.67700000000000005</v>
      </c>
      <c r="E18" s="23">
        <f t="shared" si="0"/>
        <v>101.91</v>
      </c>
    </row>
    <row r="19" spans="1:5" x14ac:dyDescent="0.25">
      <c r="A19" s="5">
        <v>403</v>
      </c>
      <c r="B19" s="17" t="s">
        <v>20</v>
      </c>
      <c r="C19" s="17" t="s">
        <v>45</v>
      </c>
      <c r="D19" s="18">
        <f t="shared" si="1"/>
        <v>0.36800000000000033</v>
      </c>
      <c r="E19" s="23">
        <f t="shared" si="0"/>
        <v>101.91</v>
      </c>
    </row>
    <row r="20" spans="1:5" x14ac:dyDescent="0.25">
      <c r="A20" s="5">
        <v>404</v>
      </c>
      <c r="B20" s="17" t="s">
        <v>21</v>
      </c>
      <c r="C20" s="17" t="s">
        <v>46</v>
      </c>
      <c r="D20" s="18">
        <f t="shared" si="1"/>
        <v>0.14800000000000013</v>
      </c>
      <c r="E20" s="23">
        <f t="shared" si="0"/>
        <v>101.91</v>
      </c>
    </row>
    <row r="21" spans="1:5" x14ac:dyDescent="0.25">
      <c r="A21" s="6">
        <v>405</v>
      </c>
      <c r="B21" s="21" t="s">
        <v>22</v>
      </c>
      <c r="C21" s="21" t="s">
        <v>47</v>
      </c>
      <c r="D21" s="22">
        <f t="shared" si="1"/>
        <v>1.1469999999999994</v>
      </c>
      <c r="E21" s="24">
        <f t="shared" si="0"/>
        <v>101.91</v>
      </c>
    </row>
    <row r="22" spans="1:5" x14ac:dyDescent="0.25">
      <c r="A22" s="5">
        <v>501</v>
      </c>
      <c r="B22" s="17" t="s">
        <v>23</v>
      </c>
      <c r="C22" s="17" t="s">
        <v>48</v>
      </c>
      <c r="D22" s="18">
        <f t="shared" si="1"/>
        <v>1.5000000000000013E-2</v>
      </c>
      <c r="E22" s="23">
        <f t="shared" si="0"/>
        <v>101.91</v>
      </c>
    </row>
    <row r="23" spans="1:5" x14ac:dyDescent="0.25">
      <c r="A23" s="5">
        <v>502</v>
      </c>
      <c r="B23" s="17" t="s">
        <v>24</v>
      </c>
      <c r="C23" s="17" t="s">
        <v>49</v>
      </c>
      <c r="D23" s="18">
        <f t="shared" si="1"/>
        <v>4.6000000000000041E-2</v>
      </c>
      <c r="E23" s="23">
        <f t="shared" si="0"/>
        <v>101.91</v>
      </c>
    </row>
    <row r="24" spans="1:5" x14ac:dyDescent="0.25">
      <c r="A24" s="5">
        <v>503</v>
      </c>
      <c r="B24" s="17" t="s">
        <v>25</v>
      </c>
      <c r="C24" s="17" t="s">
        <v>50</v>
      </c>
      <c r="D24" s="18">
        <f t="shared" si="1"/>
        <v>0.49499999999999966</v>
      </c>
      <c r="E24" s="23">
        <f t="shared" si="0"/>
        <v>101.91</v>
      </c>
    </row>
    <row r="25" spans="1:5" x14ac:dyDescent="0.25">
      <c r="A25" s="5">
        <v>504</v>
      </c>
      <c r="B25" s="17" t="s">
        <v>26</v>
      </c>
      <c r="C25" s="17" t="s">
        <v>51</v>
      </c>
      <c r="D25" s="18">
        <f t="shared" si="1"/>
        <v>0.16999999999999993</v>
      </c>
      <c r="E25" s="23">
        <f t="shared" si="0"/>
        <v>101.91</v>
      </c>
    </row>
    <row r="26" spans="1:5" ht="15.75" thickBot="1" x14ac:dyDescent="0.3">
      <c r="A26" s="5">
        <v>505</v>
      </c>
      <c r="B26" s="17" t="s">
        <v>27</v>
      </c>
      <c r="C26" s="17" t="s">
        <v>52</v>
      </c>
      <c r="D26" s="18">
        <f t="shared" si="1"/>
        <v>1.7999999999999988E-2</v>
      </c>
      <c r="E26" s="23">
        <f t="shared" si="0"/>
        <v>101.91</v>
      </c>
    </row>
    <row r="27" spans="1:5" x14ac:dyDescent="0.25">
      <c r="A27" s="14"/>
      <c r="B27" s="15"/>
      <c r="C27" s="15"/>
      <c r="D27" s="25" t="s">
        <v>28</v>
      </c>
      <c r="E27" s="28">
        <f>SUM(E7:E26)</f>
        <v>2038.2000000000005</v>
      </c>
    </row>
    <row r="28" spans="1:5" x14ac:dyDescent="0.25">
      <c r="A28" s="8"/>
      <c r="D28" s="19" t="s">
        <v>29</v>
      </c>
      <c r="E28" s="29">
        <v>2119.27</v>
      </c>
    </row>
    <row r="29" spans="1:5" ht="15.75" thickBot="1" x14ac:dyDescent="0.3">
      <c r="A29" s="12"/>
      <c r="B29" s="13"/>
      <c r="C29" s="13"/>
      <c r="D29" s="26" t="s">
        <v>30</v>
      </c>
      <c r="E29" s="30">
        <f>E28-E27</f>
        <v>81.069999999999482</v>
      </c>
    </row>
  </sheetData>
  <mergeCells count="2">
    <mergeCell ref="B4:C4"/>
    <mergeCell ref="A1:E1"/>
  </mergeCells>
  <conditionalFormatting sqref="D7:D26">
    <cfRule type="expression" dxfId="0" priority="1">
      <formula>$D7&gt;=5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Diogenes Henrique Lima</dc:creator>
  <cp:lastModifiedBy>Yohan Lopes</cp:lastModifiedBy>
  <cp:lastPrinted>2026-04-30T13:09:11Z</cp:lastPrinted>
  <dcterms:created xsi:type="dcterms:W3CDTF">2026-04-30T12:55:10Z</dcterms:created>
  <dcterms:modified xsi:type="dcterms:W3CDTF">2026-07-26T13:07:25Z</dcterms:modified>
</cp:coreProperties>
</file>